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TENDENCE\2026\"/>
    </mc:Choice>
  </mc:AlternateContent>
  <xr:revisionPtr revIDLastSave="0" documentId="13_ncr:1_{D20705D3-CC07-4D9C-8322-FCF8C78524C3}" xr6:coauthVersionLast="47" xr6:coauthVersionMax="47" xr10:uidLastSave="{00000000-0000-0000-0000-000000000000}"/>
  <bookViews>
    <workbookView xWindow="-120" yWindow="-120" windowWidth="29040" windowHeight="15840" activeTab="12" xr2:uid="{E447AA91-0A84-4502-9F7A-9D05DF6DC123}"/>
  </bookViews>
  <sheets>
    <sheet name="DEEPAK" sheetId="9" r:id="rId1"/>
    <sheet name="SHIVANAND" sheetId="7" r:id="rId2"/>
    <sheet name="PAVAN" sheetId="6" r:id="rId3"/>
    <sheet name="RAJU" sheetId="5" r:id="rId4"/>
    <sheet name="RAHUL" sheetId="1" r:id="rId5"/>
    <sheet name="MAMA" sheetId="3" r:id="rId6"/>
    <sheet name="Sheet2" sheetId="2" state="hidden" r:id="rId7"/>
    <sheet name="AJAY" sheetId="4" r:id="rId8"/>
    <sheet name="Sheet3" sheetId="10" r:id="rId9"/>
    <sheet name="Sheet1" sheetId="8" r:id="rId10"/>
    <sheet name="Sheet4" sheetId="11" r:id="rId11"/>
    <sheet name="Sheet5" sheetId="12" r:id="rId12"/>
    <sheet name="Sheet6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8" i="13" l="1"/>
  <c r="F38" i="13"/>
  <c r="E38" i="13"/>
  <c r="D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7" i="12"/>
  <c r="F38" i="12"/>
  <c r="E38" i="12"/>
  <c r="D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L29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F38" i="11"/>
  <c r="E38" i="11"/>
  <c r="D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37" i="10"/>
  <c r="F38" i="10"/>
  <c r="E38" i="10"/>
  <c r="D38" i="10"/>
  <c r="G37" i="4"/>
  <c r="F38" i="4"/>
  <c r="E38" i="4"/>
  <c r="D38" i="4"/>
  <c r="G37" i="3"/>
  <c r="F38" i="3"/>
  <c r="E38" i="3"/>
  <c r="D38" i="3"/>
  <c r="G37" i="1"/>
  <c r="F38" i="1"/>
  <c r="E38" i="1"/>
  <c r="D38" i="1"/>
  <c r="G37" i="5"/>
  <c r="F38" i="5"/>
  <c r="E38" i="5"/>
  <c r="D38" i="5"/>
  <c r="G37" i="6"/>
  <c r="F38" i="6"/>
  <c r="E38" i="6"/>
  <c r="D38" i="6"/>
  <c r="D38" i="7"/>
  <c r="E38" i="7"/>
  <c r="F38" i="7"/>
  <c r="G37" i="7"/>
  <c r="G37" i="9"/>
  <c r="G35" i="9"/>
  <c r="G36" i="9"/>
  <c r="F38" i="9"/>
  <c r="E38" i="9"/>
  <c r="D38" i="9"/>
  <c r="G7" i="9"/>
  <c r="G8" i="9"/>
  <c r="G9" i="9"/>
  <c r="G10" i="9"/>
  <c r="G11" i="9"/>
  <c r="G12" i="9"/>
  <c r="G13" i="9"/>
  <c r="G14" i="9"/>
  <c r="G15" i="9"/>
  <c r="G16" i="9"/>
  <c r="G17" i="9"/>
  <c r="G18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28" i="10"/>
  <c r="G36" i="10"/>
  <c r="G35" i="10"/>
  <c r="G34" i="10"/>
  <c r="G33" i="10"/>
  <c r="G32" i="10"/>
  <c r="G31" i="10"/>
  <c r="G30" i="10"/>
  <c r="G29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7" i="6"/>
  <c r="G19" i="9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7" i="3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7" i="4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8" i="7"/>
  <c r="G7" i="7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7" i="5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7" i="1"/>
  <c r="G8" i="5"/>
  <c r="G38" i="13" l="1"/>
  <c r="G39" i="13" s="1"/>
  <c r="G38" i="12"/>
  <c r="G39" i="12" s="1"/>
  <c r="G38" i="3"/>
  <c r="G39" i="3" s="1"/>
  <c r="G38" i="11"/>
  <c r="G39" i="11" s="1"/>
  <c r="G38" i="5"/>
  <c r="G39" i="5" s="1"/>
  <c r="G38" i="10"/>
  <c r="G39" i="10" s="1"/>
  <c r="G38" i="9"/>
  <c r="G39" i="9" s="1"/>
  <c r="G38" i="4"/>
  <c r="G39" i="4" s="1"/>
  <c r="G38" i="7"/>
  <c r="G39" i="7" s="1"/>
  <c r="G38" i="1"/>
  <c r="G39" i="1" s="1"/>
  <c r="G38" i="6"/>
  <c r="G39" i="6" s="1"/>
  <c r="A1" i="8" l="1"/>
</calcChain>
</file>

<file path=xl/sharedStrings.xml><?xml version="1.0" encoding="utf-8"?>
<sst xmlns="http://schemas.openxmlformats.org/spreadsheetml/2006/main" count="460" uniqueCount="42">
  <si>
    <t>DATE</t>
  </si>
  <si>
    <t>DAY</t>
  </si>
  <si>
    <t>PRESENT</t>
  </si>
  <si>
    <t>OVER TIME</t>
  </si>
  <si>
    <t>UPAD</t>
  </si>
  <si>
    <t>RAHUL</t>
  </si>
  <si>
    <t>FRIDAY</t>
  </si>
  <si>
    <t>SATURDAY</t>
  </si>
  <si>
    <t>SUNDAY</t>
  </si>
  <si>
    <t>MONDAY</t>
  </si>
  <si>
    <t>TUESDAY</t>
  </si>
  <si>
    <t>WEDNESDAY</t>
  </si>
  <si>
    <t>THURSDAY</t>
  </si>
  <si>
    <t>MAMA</t>
  </si>
  <si>
    <t>TOTAL</t>
  </si>
  <si>
    <t>AJAY</t>
  </si>
  <si>
    <t>RAJU</t>
  </si>
  <si>
    <t>PAVAN</t>
  </si>
  <si>
    <t>SHIVANAND</t>
  </si>
  <si>
    <t>CASH OR GPAY</t>
  </si>
  <si>
    <t>DEEPAK</t>
  </si>
  <si>
    <t>lab</t>
  </si>
  <si>
    <t>rasan</t>
  </si>
  <si>
    <t>doctor</t>
  </si>
  <si>
    <t>DARSHAN</t>
  </si>
  <si>
    <t>1/08 UPAD</t>
  </si>
  <si>
    <t>C</t>
  </si>
  <si>
    <t>DECEMBER</t>
  </si>
  <si>
    <t>case</t>
  </si>
  <si>
    <t>bharat</t>
  </si>
  <si>
    <t>RAHUL KHORAKI</t>
  </si>
  <si>
    <t>BHARAT</t>
  </si>
  <si>
    <t>RAMADHANI</t>
  </si>
  <si>
    <t>ATYAR SUDHI NO PAGAR PURO</t>
  </si>
  <si>
    <t>JANUARY</t>
  </si>
  <si>
    <t>GPAY 5000+1000+200CASH</t>
  </si>
  <si>
    <t>15000 GPAY+200 CASH</t>
  </si>
  <si>
    <t>FEBRUARY</t>
  </si>
  <si>
    <t>MILAP RECHARGE</t>
  </si>
  <si>
    <t>MARCH</t>
  </si>
  <si>
    <t xml:space="preserve">JANUARY 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</si>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</sst>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B515-64AE-427B-BBB3-BCA83DC788A9}">
  <dimension ref="A2:BE39"/>
  <sheetViews>
    <sheetView zoomScale="85" zoomScaleNormal="85" workbookViewId="0">
      <selection activeCell="L29" sqref="L29"/>
    </sheetView>
  </sheetViews>
  <sheetFormatPr defaultRowHeight="15" x14ac:dyDescent="0.25"/>
  <cols>
    <col min="1" max="2" width="16.85546875" customWidth="1"/>
    <col min="3" max="3" width="14" customWidth="1"/>
    <col min="4" max="4" width="19.85546875" style="5" customWidth="1"/>
    <col min="5" max="5" width="17" style="10" customWidth="1"/>
    <col min="6" max="6" width="13.28515625" style="10" customWidth="1"/>
    <col min="9" max="9" width="27" customWidth="1"/>
    <col min="12" max="12" width="9.140625" customWidth="1"/>
    <col min="13" max="13" width="15" customWidth="1"/>
    <col min="14" max="14" width="14.28515625" customWidth="1"/>
    <col min="15" max="15" width="13.85546875" customWidth="1"/>
    <col min="16" max="16" width="14.5703125" customWidth="1"/>
    <col min="17" max="17" width="11.42578125" customWidth="1"/>
    <col min="21" max="21" width="9.140625" customWidth="1"/>
    <col min="22" max="22" width="7" customWidth="1"/>
    <col min="23" max="23" width="13.5703125" customWidth="1"/>
    <col min="24" max="24" width="12.28515625" customWidth="1"/>
    <col min="34" max="34" width="15.7109375" customWidth="1"/>
    <col min="35" max="35" width="14.42578125" customWidth="1"/>
    <col min="43" max="43" width="17" customWidth="1"/>
    <col min="44" max="44" width="13.5703125" customWidth="1"/>
    <col min="45" max="45" width="12.140625" customWidth="1"/>
    <col min="46" max="46" width="13.5703125" customWidth="1"/>
    <col min="53" max="53" width="14.28515625" customWidth="1"/>
    <col min="54" max="54" width="14" customWidth="1"/>
    <col min="55" max="55" width="11.140625" customWidth="1"/>
    <col min="56" max="56" width="12.7109375" customWidth="1"/>
  </cols>
  <sheetData>
    <row r="2" spans="1:57" x14ac:dyDescent="0.25">
      <c r="A2" s="22" t="s">
        <v>27</v>
      </c>
      <c r="B2" s="22"/>
      <c r="C2" s="22"/>
      <c r="D2" s="22"/>
      <c r="E2" s="22"/>
      <c r="F2" s="22"/>
      <c r="M2" s="22"/>
      <c r="N2" s="22"/>
      <c r="O2" s="22"/>
      <c r="P2" s="22"/>
      <c r="Q2" s="22"/>
      <c r="R2" s="22"/>
      <c r="V2" s="22"/>
      <c r="W2" s="22"/>
      <c r="X2" s="22"/>
      <c r="Y2" s="22"/>
      <c r="Z2" s="22"/>
      <c r="AA2" s="22"/>
      <c r="AG2" s="22"/>
      <c r="AH2" s="22"/>
      <c r="AI2" s="22"/>
      <c r="AJ2" s="22"/>
      <c r="AK2" s="22"/>
      <c r="AL2" s="22"/>
      <c r="AP2" s="22"/>
      <c r="AQ2" s="22"/>
      <c r="AR2" s="22"/>
      <c r="AS2" s="22"/>
      <c r="AT2" s="22"/>
      <c r="AU2" s="22"/>
      <c r="AZ2" s="22"/>
      <c r="BA2" s="22"/>
      <c r="BB2" s="22"/>
      <c r="BC2" s="22"/>
      <c r="BD2" s="22"/>
      <c r="BE2" s="22"/>
    </row>
    <row r="3" spans="1:57" x14ac:dyDescent="0.25">
      <c r="P3" s="5"/>
      <c r="Q3" s="10"/>
      <c r="R3" s="10"/>
      <c r="Y3" s="5"/>
      <c r="Z3" s="10"/>
      <c r="AA3" s="10"/>
      <c r="AJ3" s="5"/>
      <c r="AK3" s="10"/>
      <c r="AL3" s="10"/>
      <c r="AS3" s="5"/>
      <c r="AT3" s="10"/>
      <c r="AU3" s="10"/>
      <c r="BC3" s="5"/>
      <c r="BD3" s="10"/>
      <c r="BE3" s="10"/>
    </row>
    <row r="4" spans="1:57" x14ac:dyDescent="0.25">
      <c r="A4" s="21" t="s">
        <v>20</v>
      </c>
      <c r="B4" s="21"/>
      <c r="C4" s="21"/>
      <c r="D4" s="21"/>
      <c r="E4" s="21"/>
      <c r="F4" s="21"/>
      <c r="M4" s="21"/>
      <c r="N4" s="21"/>
      <c r="O4" s="21"/>
      <c r="P4" s="21"/>
      <c r="Q4" s="21"/>
      <c r="R4" s="21"/>
      <c r="V4" s="23"/>
      <c r="W4" s="23"/>
      <c r="X4" s="23"/>
      <c r="Y4" s="23"/>
      <c r="Z4" s="23"/>
      <c r="AA4" s="23"/>
      <c r="AG4" s="21"/>
      <c r="AH4" s="21"/>
      <c r="AI4" s="21"/>
      <c r="AJ4" s="21"/>
      <c r="AK4" s="21"/>
      <c r="AL4" s="21"/>
      <c r="AP4" s="21"/>
      <c r="AQ4" s="21"/>
      <c r="AR4" s="21"/>
      <c r="AS4" s="21"/>
      <c r="AT4" s="21"/>
      <c r="AU4" s="21"/>
      <c r="AZ4" s="21"/>
      <c r="BA4" s="21"/>
      <c r="BB4" s="21"/>
      <c r="BC4" s="21"/>
      <c r="BD4" s="21"/>
      <c r="BE4" s="21"/>
    </row>
    <row r="5" spans="1:57" x14ac:dyDescent="0.25">
      <c r="P5" s="5"/>
      <c r="Q5" s="10"/>
      <c r="R5" s="10"/>
      <c r="Y5" s="5"/>
      <c r="Z5" s="10"/>
      <c r="AA5" s="10"/>
      <c r="AG5" s="6"/>
      <c r="AH5" s="6"/>
      <c r="AI5" s="6"/>
      <c r="AJ5" s="7"/>
      <c r="AK5" s="9"/>
      <c r="AL5" s="9"/>
      <c r="AS5" s="5"/>
      <c r="AT5" s="10"/>
      <c r="AU5" s="10"/>
      <c r="BC5" s="5"/>
      <c r="BD5" s="10"/>
      <c r="BE5" s="10"/>
    </row>
    <row r="6" spans="1:57" x14ac:dyDescent="0.25">
      <c r="B6" t="s">
        <v>0</v>
      </c>
      <c r="C6" t="s">
        <v>1</v>
      </c>
      <c r="D6" s="5" t="s">
        <v>2</v>
      </c>
      <c r="E6" s="10" t="s">
        <v>3</v>
      </c>
      <c r="F6" s="10" t="s">
        <v>4</v>
      </c>
      <c r="G6" t="s">
        <v>14</v>
      </c>
      <c r="I6" t="s">
        <v>19</v>
      </c>
      <c r="P6" s="5"/>
      <c r="Q6" s="10"/>
      <c r="R6" s="10"/>
      <c r="Y6" s="5"/>
      <c r="Z6" s="10"/>
      <c r="AA6" s="10"/>
      <c r="AJ6" s="5"/>
      <c r="AK6" s="10"/>
      <c r="AL6" s="10"/>
      <c r="AS6" s="5"/>
      <c r="AT6" s="10"/>
      <c r="AU6" s="10"/>
      <c r="BC6" s="5"/>
      <c r="BD6" s="10"/>
      <c r="BE6" s="10"/>
    </row>
    <row r="7" spans="1:57" x14ac:dyDescent="0.25">
      <c r="B7" s="4">
        <v>46023</v>
      </c>
      <c r="C7" t="s">
        <v>11</v>
      </c>
      <c r="E7" s="5"/>
      <c r="F7" s="5"/>
      <c r="G7" s="5">
        <f>(D7*8+E7)*56.25</f>
        <v>0</v>
      </c>
      <c r="N7" s="4"/>
      <c r="P7" s="5"/>
      <c r="Q7" s="10"/>
      <c r="R7" s="10"/>
      <c r="W7" s="4"/>
      <c r="Y7" s="5"/>
      <c r="Z7" s="10"/>
      <c r="AA7" s="10"/>
      <c r="AH7" s="4"/>
      <c r="AJ7" s="5"/>
      <c r="AK7" s="10"/>
      <c r="AL7" s="10"/>
      <c r="AQ7" s="4"/>
      <c r="AS7" s="5"/>
      <c r="AT7" s="10"/>
      <c r="AU7" s="10"/>
      <c r="BA7" s="4"/>
      <c r="BC7" s="5"/>
      <c r="BD7" s="10"/>
      <c r="BE7" s="10"/>
    </row>
    <row r="8" spans="1:57" x14ac:dyDescent="0.25">
      <c r="B8" s="4">
        <v>46024</v>
      </c>
      <c r="C8" t="s">
        <v>12</v>
      </c>
      <c r="G8">
        <f>(D8*8+E8)*56.25</f>
        <v>0</v>
      </c>
      <c r="N8" s="4"/>
      <c r="P8" s="5"/>
      <c r="Q8" s="10"/>
      <c r="R8" s="10"/>
      <c r="W8" s="4"/>
      <c r="Y8" s="5"/>
      <c r="Z8" s="10"/>
      <c r="AA8" s="10"/>
      <c r="AH8" s="4"/>
      <c r="AJ8" s="5"/>
      <c r="AK8" s="10"/>
      <c r="AL8" s="10"/>
      <c r="AQ8" s="4"/>
      <c r="AS8" s="5"/>
      <c r="AT8" s="10"/>
      <c r="AU8" s="10"/>
      <c r="BA8" s="4"/>
      <c r="BC8" s="5"/>
      <c r="BD8" s="10"/>
      <c r="BE8" s="10"/>
    </row>
    <row r="9" spans="1:57" x14ac:dyDescent="0.25">
      <c r="B9" s="4">
        <v>46025</v>
      </c>
      <c r="C9" t="s">
        <v>6</v>
      </c>
      <c r="E9" s="14"/>
      <c r="F9" s="14"/>
      <c r="G9">
        <f t="shared" ref="G9:G17" si="0">(D9*8+E9)*56.25</f>
        <v>0</v>
      </c>
      <c r="N9" s="4"/>
      <c r="P9" s="5"/>
      <c r="Q9" s="10"/>
      <c r="R9" s="10"/>
      <c r="W9" s="4"/>
      <c r="Y9" s="5"/>
      <c r="Z9" s="10"/>
      <c r="AA9" s="10"/>
      <c r="AH9" s="4"/>
      <c r="AJ9" s="5"/>
      <c r="AK9" s="10"/>
      <c r="AL9" s="10"/>
      <c r="AQ9" s="4"/>
      <c r="AS9" s="5"/>
      <c r="AT9" s="10"/>
      <c r="AU9" s="10"/>
      <c r="BA9" s="4"/>
      <c r="BC9" s="5"/>
      <c r="BD9" s="10"/>
      <c r="BE9" s="10"/>
    </row>
    <row r="10" spans="1:57" x14ac:dyDescent="0.25">
      <c r="B10" s="4">
        <v>46026</v>
      </c>
      <c r="C10" t="s">
        <v>7</v>
      </c>
      <c r="E10" s="14"/>
      <c r="F10" s="14"/>
      <c r="G10">
        <f t="shared" si="0"/>
        <v>0</v>
      </c>
      <c r="N10" s="4"/>
      <c r="P10" s="5"/>
      <c r="Q10" s="10"/>
      <c r="R10" s="10"/>
      <c r="W10" s="4"/>
      <c r="Y10" s="5"/>
      <c r="Z10" s="10"/>
      <c r="AA10" s="10"/>
      <c r="AH10" s="4"/>
      <c r="AJ10" s="5"/>
      <c r="AK10" s="10"/>
      <c r="AL10" s="10"/>
      <c r="AQ10" s="4"/>
      <c r="AS10" s="5"/>
      <c r="AT10" s="10"/>
      <c r="AU10" s="10"/>
      <c r="BA10" s="4"/>
      <c r="BC10" s="5"/>
      <c r="BD10" s="10"/>
      <c r="BE10" s="10"/>
    </row>
    <row r="11" spans="1:57" x14ac:dyDescent="0.25">
      <c r="B11" s="4">
        <v>46027</v>
      </c>
      <c r="C11" t="s">
        <v>8</v>
      </c>
      <c r="E11" s="14"/>
      <c r="F11" s="14"/>
      <c r="G11">
        <f t="shared" si="0"/>
        <v>0</v>
      </c>
      <c r="N11" s="4"/>
      <c r="P11" s="5"/>
      <c r="Q11" s="10"/>
      <c r="R11" s="10"/>
      <c r="W11" s="4"/>
      <c r="Y11" s="5"/>
      <c r="Z11" s="10"/>
      <c r="AA11" s="10"/>
      <c r="AH11" s="4"/>
      <c r="AJ11" s="5"/>
      <c r="AK11" s="10"/>
      <c r="AL11" s="10"/>
      <c r="AQ11" s="4"/>
      <c r="AS11" s="5"/>
      <c r="AT11" s="10"/>
      <c r="AU11" s="10"/>
      <c r="BA11" s="4"/>
      <c r="BC11" s="5"/>
      <c r="BD11" s="10"/>
      <c r="BE11" s="10"/>
    </row>
    <row r="12" spans="1:57" x14ac:dyDescent="0.25">
      <c r="B12" s="4">
        <v>46028</v>
      </c>
      <c r="C12" t="s">
        <v>9</v>
      </c>
      <c r="E12" s="14"/>
      <c r="F12" s="14"/>
      <c r="G12">
        <f t="shared" si="0"/>
        <v>0</v>
      </c>
      <c r="N12" s="4"/>
      <c r="P12" s="5"/>
      <c r="Q12" s="10"/>
      <c r="R12" s="10"/>
      <c r="W12" s="4"/>
      <c r="Y12" s="5"/>
      <c r="Z12" s="10"/>
      <c r="AA12" s="10"/>
      <c r="AH12" s="4"/>
      <c r="AJ12" s="5"/>
      <c r="AK12" s="10"/>
      <c r="AL12" s="10"/>
      <c r="AQ12" s="4"/>
      <c r="AS12" s="5"/>
      <c r="AT12" s="10"/>
      <c r="AU12" s="10"/>
      <c r="BA12" s="4"/>
      <c r="BC12" s="5"/>
      <c r="BD12" s="10"/>
      <c r="BE12" s="10"/>
    </row>
    <row r="13" spans="1:57" x14ac:dyDescent="0.25">
      <c r="B13" s="4">
        <v>46029</v>
      </c>
      <c r="C13" t="s">
        <v>10</v>
      </c>
      <c r="E13" s="14"/>
      <c r="F13" s="14"/>
      <c r="G13">
        <f t="shared" si="0"/>
        <v>0</v>
      </c>
      <c r="N13" s="4"/>
      <c r="P13" s="5"/>
      <c r="Q13" s="10"/>
      <c r="R13" s="10"/>
      <c r="W13" s="4"/>
      <c r="Y13" s="5"/>
      <c r="Z13" s="10"/>
      <c r="AA13" s="10"/>
      <c r="AH13" s="4"/>
      <c r="AJ13" s="5"/>
      <c r="AK13" s="10"/>
      <c r="AL13" s="10"/>
      <c r="AQ13" s="4"/>
      <c r="AS13" s="5"/>
      <c r="AT13" s="10"/>
      <c r="AU13" s="10"/>
      <c r="BA13" s="4"/>
      <c r="BC13" s="5"/>
      <c r="BD13" s="10"/>
      <c r="BE13" s="10"/>
    </row>
    <row r="14" spans="1:57" x14ac:dyDescent="0.25">
      <c r="B14" s="4">
        <v>46030</v>
      </c>
      <c r="C14" t="s">
        <v>11</v>
      </c>
      <c r="E14" s="14"/>
      <c r="F14" s="14"/>
      <c r="G14">
        <f t="shared" si="0"/>
        <v>0</v>
      </c>
      <c r="N14" s="4"/>
      <c r="P14" s="5"/>
      <c r="Q14" s="10"/>
      <c r="R14" s="10"/>
      <c r="W14" s="4"/>
      <c r="Y14" s="5"/>
      <c r="Z14" s="10"/>
      <c r="AA14" s="10"/>
      <c r="AH14" s="4"/>
      <c r="AJ14" s="5"/>
      <c r="AK14" s="10"/>
      <c r="AL14" s="10"/>
      <c r="AQ14" s="4"/>
      <c r="AS14" s="5"/>
      <c r="AT14" s="10"/>
      <c r="AU14" s="10"/>
      <c r="BA14" s="4"/>
      <c r="BC14" s="5"/>
      <c r="BD14" s="10"/>
      <c r="BE14" s="10"/>
    </row>
    <row r="15" spans="1:57" x14ac:dyDescent="0.25">
      <c r="B15" s="4">
        <v>46031</v>
      </c>
      <c r="C15" t="s">
        <v>12</v>
      </c>
      <c r="E15" s="14"/>
      <c r="F15" s="14"/>
      <c r="G15">
        <f t="shared" si="0"/>
        <v>0</v>
      </c>
      <c r="N15" s="4"/>
      <c r="P15" s="5"/>
      <c r="Q15" s="10"/>
      <c r="R15" s="10"/>
      <c r="W15" s="4"/>
      <c r="Y15" s="5"/>
      <c r="Z15" s="10"/>
      <c r="AA15" s="10"/>
      <c r="AH15" s="4"/>
      <c r="AJ15" s="5"/>
      <c r="AK15" s="10"/>
      <c r="AL15" s="10"/>
      <c r="AQ15" s="4"/>
      <c r="AS15" s="5"/>
      <c r="AT15" s="10"/>
      <c r="AU15" s="10"/>
      <c r="BA15" s="4"/>
      <c r="BC15" s="5"/>
      <c r="BD15" s="10"/>
      <c r="BE15" s="10"/>
    </row>
    <row r="16" spans="1:57" x14ac:dyDescent="0.25">
      <c r="B16" s="4">
        <v>46032</v>
      </c>
      <c r="C16" t="s">
        <v>6</v>
      </c>
      <c r="E16" s="14"/>
      <c r="F16" s="14"/>
      <c r="G16">
        <f t="shared" si="0"/>
        <v>0</v>
      </c>
      <c r="N16" s="4"/>
      <c r="P16" s="5"/>
      <c r="Q16" s="10"/>
      <c r="R16" s="10"/>
      <c r="W16" s="4"/>
      <c r="Y16" s="5"/>
      <c r="Z16" s="10"/>
      <c r="AA16" s="10"/>
      <c r="AH16" s="4"/>
      <c r="AJ16" s="5"/>
      <c r="AK16" s="10"/>
      <c r="AL16" s="10"/>
      <c r="AQ16" s="4"/>
      <c r="AS16" s="5"/>
      <c r="AT16" s="10"/>
      <c r="AU16" s="10"/>
      <c r="BA16" s="4"/>
      <c r="BC16" s="5"/>
      <c r="BD16" s="10"/>
      <c r="BE16" s="10"/>
    </row>
    <row r="17" spans="2:57" x14ac:dyDescent="0.25">
      <c r="B17" s="4">
        <v>46033</v>
      </c>
      <c r="C17" t="s">
        <v>7</v>
      </c>
      <c r="E17" s="14"/>
      <c r="F17" s="14"/>
      <c r="G17">
        <f t="shared" si="0"/>
        <v>0</v>
      </c>
      <c r="N17" s="4"/>
      <c r="P17" s="5"/>
      <c r="Q17" s="10"/>
      <c r="R17" s="10"/>
      <c r="W17" s="4"/>
      <c r="Y17" s="5"/>
      <c r="Z17" s="10"/>
      <c r="AA17" s="10"/>
      <c r="AH17" s="4"/>
      <c r="AJ17" s="5"/>
      <c r="AK17" s="10"/>
      <c r="AL17" s="10"/>
      <c r="AQ17" s="4"/>
      <c r="AS17" s="5"/>
      <c r="AT17" s="10"/>
      <c r="AU17" s="10"/>
      <c r="BA17" s="4"/>
      <c r="BC17" s="5"/>
      <c r="BD17" s="10"/>
      <c r="BE17" s="10"/>
    </row>
    <row r="18" spans="2:57" x14ac:dyDescent="0.25">
      <c r="B18" s="4">
        <v>46034</v>
      </c>
      <c r="C18" t="s">
        <v>8</v>
      </c>
      <c r="E18" s="14"/>
      <c r="F18" s="14"/>
      <c r="G18">
        <f>(D18*8+E18)*75</f>
        <v>0</v>
      </c>
      <c r="N18" s="4"/>
      <c r="P18" s="5"/>
      <c r="Q18" s="10"/>
      <c r="R18" s="10"/>
      <c r="W18" s="4"/>
      <c r="Y18" s="5"/>
      <c r="Z18" s="10"/>
      <c r="AA18" s="10"/>
      <c r="AH18" s="4"/>
      <c r="AJ18" s="5"/>
      <c r="AK18" s="10"/>
      <c r="AL18" s="10"/>
      <c r="AQ18" s="4"/>
      <c r="AS18" s="5"/>
      <c r="AT18" s="10"/>
      <c r="AU18" s="10"/>
      <c r="BA18" s="4"/>
      <c r="BC18" s="5"/>
      <c r="BD18" s="10"/>
      <c r="BE18" s="10"/>
    </row>
    <row r="19" spans="2:57" x14ac:dyDescent="0.25">
      <c r="B19" s="4">
        <v>46035</v>
      </c>
      <c r="C19" t="s">
        <v>9</v>
      </c>
      <c r="E19" s="14"/>
      <c r="F19" s="14"/>
      <c r="G19">
        <f>(D19*8+E19)*75</f>
        <v>0</v>
      </c>
      <c r="N19" s="4"/>
      <c r="P19" s="5"/>
      <c r="Q19" s="10"/>
      <c r="R19" s="10"/>
      <c r="W19" s="4"/>
      <c r="Y19" s="5"/>
      <c r="Z19" s="10"/>
      <c r="AA19" s="10"/>
      <c r="AH19" s="4"/>
      <c r="AJ19" s="5"/>
      <c r="AK19" s="10"/>
      <c r="AL19" s="10"/>
      <c r="AQ19" s="4"/>
      <c r="AS19" s="5"/>
      <c r="AT19" s="10"/>
      <c r="AU19" s="10"/>
      <c r="BA19" s="4"/>
      <c r="BC19" s="5"/>
      <c r="BD19" s="10"/>
      <c r="BE19" s="10"/>
    </row>
    <row r="20" spans="2:57" x14ac:dyDescent="0.25">
      <c r="B20" s="4">
        <v>46036</v>
      </c>
      <c r="C20" t="s">
        <v>10</v>
      </c>
      <c r="E20" s="14"/>
      <c r="F20" s="5">
        <v>6200</v>
      </c>
      <c r="G20">
        <f t="shared" ref="G20:G35" si="1">(D20*8+E20)*75</f>
        <v>0</v>
      </c>
      <c r="I20" t="s">
        <v>35</v>
      </c>
      <c r="N20" s="4"/>
      <c r="P20" s="5"/>
      <c r="Q20" s="13">
        <v>0</v>
      </c>
      <c r="R20" s="10"/>
      <c r="W20" s="4"/>
      <c r="Y20" s="5"/>
      <c r="Z20" s="10"/>
      <c r="AA20" s="10"/>
      <c r="AH20" s="4"/>
      <c r="AJ20" s="5"/>
      <c r="AK20" s="10"/>
      <c r="AL20" s="10"/>
      <c r="AQ20" s="4"/>
      <c r="AS20" s="5"/>
      <c r="AT20" s="10"/>
      <c r="AU20" s="10"/>
      <c r="BA20" s="4"/>
      <c r="BC20" s="5"/>
      <c r="BD20" s="10"/>
      <c r="BE20" s="10"/>
    </row>
    <row r="21" spans="2:57" x14ac:dyDescent="0.25">
      <c r="B21" s="4">
        <v>46037</v>
      </c>
      <c r="C21" t="s">
        <v>11</v>
      </c>
      <c r="E21" s="14"/>
      <c r="F21" s="14"/>
      <c r="G21">
        <f t="shared" si="1"/>
        <v>0</v>
      </c>
      <c r="N21" s="4"/>
      <c r="P21" s="5"/>
      <c r="Q21" s="10"/>
      <c r="R21" s="10"/>
      <c r="W21" s="4"/>
      <c r="Y21" s="5"/>
      <c r="Z21" s="10"/>
      <c r="AA21" s="10"/>
      <c r="AH21" s="4"/>
      <c r="AJ21" s="5"/>
      <c r="AK21" s="10"/>
      <c r="AL21" s="10"/>
      <c r="AQ21" s="4"/>
      <c r="AS21" s="5"/>
      <c r="AT21" s="10"/>
      <c r="AU21" s="10"/>
      <c r="BA21" s="4"/>
      <c r="BC21" s="5"/>
      <c r="BD21" s="10"/>
      <c r="BE21" s="10"/>
    </row>
    <row r="22" spans="2:57" x14ac:dyDescent="0.25">
      <c r="B22" s="4">
        <v>46038</v>
      </c>
      <c r="C22" t="s">
        <v>12</v>
      </c>
      <c r="E22" s="14"/>
      <c r="F22" s="14"/>
      <c r="G22">
        <f t="shared" si="1"/>
        <v>0</v>
      </c>
      <c r="N22" s="4"/>
      <c r="P22" s="5"/>
      <c r="Q22" s="10"/>
      <c r="R22" s="10"/>
      <c r="W22" s="4"/>
      <c r="Y22" s="5"/>
      <c r="Z22" s="10"/>
      <c r="AA22" s="10"/>
      <c r="AH22" s="4"/>
      <c r="AJ22" s="5"/>
      <c r="AK22" s="10"/>
      <c r="AL22" s="10"/>
      <c r="AQ22" s="4"/>
      <c r="AS22" s="5"/>
      <c r="AT22" s="10"/>
      <c r="AU22" s="10"/>
      <c r="BA22" s="4"/>
      <c r="BC22" s="5"/>
      <c r="BD22" s="10"/>
      <c r="BE22" s="10"/>
    </row>
    <row r="23" spans="2:57" x14ac:dyDescent="0.25">
      <c r="B23" s="4">
        <v>46039</v>
      </c>
      <c r="C23" t="s">
        <v>6</v>
      </c>
      <c r="E23" s="14"/>
      <c r="F23" s="14"/>
      <c r="G23">
        <f t="shared" si="1"/>
        <v>0</v>
      </c>
      <c r="N23" s="4"/>
      <c r="P23" s="5"/>
      <c r="Q23" s="10"/>
      <c r="R23" s="10"/>
      <c r="W23" s="4"/>
      <c r="Y23" s="5"/>
      <c r="Z23" s="10"/>
      <c r="AA23" s="10"/>
      <c r="AH23" s="4"/>
      <c r="AJ23" s="5"/>
      <c r="AK23" s="10"/>
      <c r="AL23" s="10"/>
      <c r="AQ23" s="4"/>
      <c r="AS23" s="5"/>
      <c r="AT23" s="10"/>
      <c r="AU23" s="10"/>
      <c r="BA23" s="4"/>
      <c r="BC23" s="5"/>
      <c r="BD23" s="10"/>
      <c r="BE23" s="10"/>
    </row>
    <row r="24" spans="2:57" x14ac:dyDescent="0.25">
      <c r="B24" s="4">
        <v>46040</v>
      </c>
      <c r="C24" t="s">
        <v>7</v>
      </c>
      <c r="E24" s="14"/>
      <c r="F24" s="14"/>
      <c r="G24">
        <f t="shared" si="1"/>
        <v>0</v>
      </c>
      <c r="N24" s="4"/>
      <c r="P24" s="5"/>
      <c r="Q24" s="10"/>
      <c r="R24" s="10"/>
      <c r="W24" s="4"/>
      <c r="Y24" s="5"/>
      <c r="Z24" s="10"/>
      <c r="AA24" s="10"/>
      <c r="AH24" s="4"/>
      <c r="AJ24" s="5"/>
      <c r="AK24" s="10"/>
      <c r="AL24" s="10"/>
      <c r="AQ24" s="4"/>
      <c r="AS24" s="5"/>
      <c r="AT24" s="10"/>
      <c r="AU24" s="10"/>
      <c r="BA24" s="4"/>
      <c r="BC24" s="5"/>
      <c r="BD24" s="10"/>
      <c r="BE24" s="10"/>
    </row>
    <row r="25" spans="2:57" x14ac:dyDescent="0.25">
      <c r="B25" s="4">
        <v>46041</v>
      </c>
      <c r="C25" t="s">
        <v>8</v>
      </c>
      <c r="E25" s="14"/>
      <c r="F25" s="14"/>
      <c r="G25">
        <f t="shared" si="1"/>
        <v>0</v>
      </c>
      <c r="N25" s="4"/>
      <c r="P25" s="5"/>
      <c r="Q25" s="10"/>
      <c r="R25" s="10"/>
      <c r="W25" s="4"/>
      <c r="Y25" s="5"/>
      <c r="Z25" s="10"/>
      <c r="AA25" s="10"/>
      <c r="AH25" s="4"/>
      <c r="AJ25" s="5"/>
      <c r="AK25" s="10"/>
      <c r="AL25" s="10"/>
      <c r="AQ25" s="4"/>
      <c r="AS25" s="5"/>
      <c r="AT25" s="10"/>
      <c r="AU25" s="10"/>
      <c r="BA25" s="4"/>
      <c r="BC25" s="5"/>
      <c r="BD25" s="10"/>
      <c r="BE25" s="10"/>
    </row>
    <row r="26" spans="2:57" x14ac:dyDescent="0.25">
      <c r="B26" s="4">
        <v>46042</v>
      </c>
      <c r="C26" t="s">
        <v>9</v>
      </c>
      <c r="E26" s="14"/>
      <c r="F26" s="14"/>
      <c r="G26">
        <f t="shared" si="1"/>
        <v>0</v>
      </c>
      <c r="N26" s="4"/>
      <c r="P26" s="5"/>
      <c r="Q26" s="10"/>
      <c r="R26" s="10"/>
      <c r="W26" s="4"/>
      <c r="Y26" s="5"/>
      <c r="Z26" s="10"/>
      <c r="AA26" s="10"/>
      <c r="AH26" s="4"/>
      <c r="AJ26" s="5"/>
      <c r="AK26" s="10"/>
      <c r="AL26" s="10"/>
      <c r="AQ26" s="4"/>
      <c r="AS26" s="5"/>
      <c r="AT26" s="10"/>
      <c r="AU26" s="10"/>
      <c r="BA26" s="4"/>
      <c r="BC26" s="5"/>
      <c r="BD26" s="10"/>
      <c r="BE26" s="10"/>
    </row>
    <row r="27" spans="2:57" x14ac:dyDescent="0.25">
      <c r="B27" s="4">
        <v>46043</v>
      </c>
      <c r="C27" t="s">
        <v>10</v>
      </c>
      <c r="E27" s="14"/>
      <c r="F27" s="14"/>
      <c r="G27">
        <f t="shared" si="1"/>
        <v>0</v>
      </c>
      <c r="N27" s="4"/>
      <c r="P27" s="5"/>
      <c r="Q27" s="10"/>
      <c r="R27" s="10"/>
      <c r="W27" s="4"/>
      <c r="Y27" s="5"/>
      <c r="Z27" s="10"/>
      <c r="AA27" s="10"/>
      <c r="AH27" s="4"/>
      <c r="AJ27" s="5"/>
      <c r="AK27" s="10"/>
      <c r="AL27" s="10"/>
      <c r="AQ27" s="4"/>
      <c r="AS27" s="5"/>
      <c r="AT27" s="10"/>
      <c r="AU27" s="10"/>
      <c r="BA27" s="4"/>
      <c r="BC27" s="5"/>
      <c r="BD27" s="10"/>
      <c r="BE27" s="10"/>
    </row>
    <row r="28" spans="2:57" x14ac:dyDescent="0.25">
      <c r="B28" s="4">
        <v>46044</v>
      </c>
      <c r="C28" t="s">
        <v>11</v>
      </c>
      <c r="E28" s="14"/>
      <c r="F28" s="14"/>
      <c r="G28">
        <f t="shared" si="1"/>
        <v>0</v>
      </c>
      <c r="N28" s="4"/>
      <c r="P28" s="5"/>
      <c r="Q28" s="10"/>
      <c r="R28" s="10"/>
      <c r="W28" s="4"/>
      <c r="Y28" s="5"/>
      <c r="Z28" s="10"/>
      <c r="AA28" s="10"/>
      <c r="AH28" s="4"/>
      <c r="AJ28" s="5"/>
      <c r="AK28" s="10"/>
      <c r="AL28" s="10"/>
      <c r="AQ28" s="4"/>
      <c r="AS28" s="5"/>
      <c r="AT28" s="10"/>
      <c r="AU28" s="10"/>
      <c r="BA28" s="4"/>
      <c r="BC28" s="5"/>
      <c r="BD28" s="10"/>
      <c r="BE28" s="10"/>
    </row>
    <row r="29" spans="2:57" x14ac:dyDescent="0.25">
      <c r="B29" s="4">
        <v>46045</v>
      </c>
      <c r="C29" t="s">
        <v>12</v>
      </c>
      <c r="E29" s="14"/>
      <c r="F29" s="14"/>
      <c r="G29">
        <f t="shared" si="1"/>
        <v>0</v>
      </c>
      <c r="N29" s="4"/>
      <c r="P29" s="5"/>
      <c r="Q29" s="10"/>
      <c r="R29" s="10"/>
      <c r="W29" s="4"/>
      <c r="Y29" s="5"/>
      <c r="Z29" s="10"/>
      <c r="AA29" s="10"/>
      <c r="AH29" s="4"/>
      <c r="AJ29" s="5"/>
      <c r="AK29" s="10"/>
      <c r="AL29" s="10"/>
      <c r="AQ29" s="4"/>
      <c r="AS29" s="5"/>
      <c r="AT29" s="10"/>
      <c r="AU29" s="10"/>
      <c r="BA29" s="4"/>
      <c r="BC29" s="5"/>
      <c r="BD29" s="10"/>
      <c r="BE29" s="10"/>
    </row>
    <row r="30" spans="2:57" x14ac:dyDescent="0.25">
      <c r="B30" s="4">
        <v>46046</v>
      </c>
      <c r="C30" t="s">
        <v>6</v>
      </c>
      <c r="E30" s="14"/>
      <c r="F30" s="14"/>
      <c r="G30">
        <f t="shared" si="1"/>
        <v>0</v>
      </c>
      <c r="N30" s="4"/>
      <c r="P30" s="5"/>
      <c r="Q30" s="10"/>
      <c r="R30" s="10"/>
      <c r="W30" s="4"/>
      <c r="Y30" s="5"/>
      <c r="Z30" s="10"/>
      <c r="AA30" s="10"/>
      <c r="AH30" s="4"/>
      <c r="AJ30" s="5"/>
      <c r="AK30" s="10"/>
      <c r="AL30" s="10"/>
      <c r="AQ30" s="4"/>
      <c r="AS30" s="5"/>
      <c r="AT30" s="10"/>
      <c r="AU30" s="10"/>
      <c r="BA30" s="4"/>
      <c r="BC30" s="5"/>
      <c r="BD30" s="10"/>
      <c r="BE30" s="10"/>
    </row>
    <row r="31" spans="2:57" x14ac:dyDescent="0.25">
      <c r="B31" s="4">
        <v>46047</v>
      </c>
      <c r="C31" t="s">
        <v>7</v>
      </c>
      <c r="E31" s="14"/>
      <c r="F31" s="14"/>
      <c r="G31">
        <f t="shared" si="1"/>
        <v>0</v>
      </c>
      <c r="N31" s="4"/>
      <c r="P31" s="5"/>
      <c r="Q31" s="10"/>
      <c r="R31" s="10"/>
      <c r="W31" s="4"/>
      <c r="Y31" s="5"/>
      <c r="Z31" s="10"/>
      <c r="AA31" s="10"/>
      <c r="AH31" s="4"/>
      <c r="AJ31" s="5"/>
      <c r="AK31" s="10"/>
      <c r="AL31" s="10"/>
      <c r="AQ31" s="4"/>
      <c r="AS31" s="5"/>
      <c r="AT31" s="10"/>
      <c r="AU31" s="10"/>
      <c r="BA31" s="4"/>
      <c r="BC31" s="5"/>
      <c r="BD31" s="10"/>
      <c r="BE31" s="10"/>
    </row>
    <row r="32" spans="2:57" x14ac:dyDescent="0.25">
      <c r="B32" s="4">
        <v>46048</v>
      </c>
      <c r="C32" t="s">
        <v>8</v>
      </c>
      <c r="E32" s="14"/>
      <c r="F32" s="14"/>
      <c r="G32">
        <f t="shared" si="1"/>
        <v>0</v>
      </c>
      <c r="N32" s="4"/>
      <c r="P32" s="5"/>
      <c r="Q32" s="10"/>
      <c r="R32" s="10"/>
      <c r="W32" s="4"/>
      <c r="Y32" s="5"/>
      <c r="Z32" s="10"/>
      <c r="AA32" s="10"/>
      <c r="AH32" s="4"/>
      <c r="AJ32" s="5"/>
      <c r="AK32" s="10"/>
      <c r="AL32" s="10"/>
      <c r="AQ32" s="4"/>
      <c r="AS32" s="5"/>
      <c r="AT32" s="10"/>
      <c r="AU32" s="10"/>
      <c r="BA32" s="4"/>
      <c r="BC32" s="5"/>
      <c r="BD32" s="10"/>
      <c r="BE32" s="10"/>
    </row>
    <row r="33" spans="2:57" x14ac:dyDescent="0.25">
      <c r="B33" s="4">
        <v>46049</v>
      </c>
      <c r="C33" t="s">
        <v>9</v>
      </c>
      <c r="E33" s="14"/>
      <c r="F33" s="14"/>
      <c r="G33">
        <f t="shared" si="1"/>
        <v>0</v>
      </c>
      <c r="N33" s="4"/>
      <c r="P33" s="5"/>
      <c r="Q33" s="10"/>
      <c r="R33" s="10"/>
      <c r="W33" s="4"/>
      <c r="Y33" s="5"/>
      <c r="Z33" s="10"/>
      <c r="AA33" s="10"/>
      <c r="AH33" s="4"/>
      <c r="AJ33" s="5"/>
      <c r="AK33" s="10"/>
      <c r="AL33" s="10"/>
      <c r="AQ33" s="4"/>
      <c r="AS33" s="5"/>
      <c r="AT33" s="10"/>
      <c r="AU33" s="10"/>
      <c r="BA33" s="4"/>
      <c r="BC33" s="5"/>
      <c r="BD33" s="10"/>
      <c r="BE33" s="10"/>
    </row>
    <row r="34" spans="2:57" x14ac:dyDescent="0.25">
      <c r="B34" s="4">
        <v>46050</v>
      </c>
      <c r="C34" t="s">
        <v>10</v>
      </c>
      <c r="E34" s="14"/>
      <c r="F34" s="14"/>
      <c r="G34">
        <f t="shared" si="1"/>
        <v>0</v>
      </c>
      <c r="N34" s="4"/>
      <c r="P34" s="5"/>
      <c r="Q34" s="10"/>
      <c r="R34" s="10"/>
      <c r="W34" s="4"/>
      <c r="Y34" s="5"/>
      <c r="Z34" s="10"/>
      <c r="AA34" s="10"/>
      <c r="AH34" s="4"/>
      <c r="AJ34" s="5"/>
      <c r="AK34" s="10"/>
      <c r="AL34" s="10"/>
      <c r="AQ34" s="4"/>
      <c r="AS34" s="5"/>
      <c r="AT34" s="10"/>
      <c r="AU34" s="10"/>
      <c r="BA34" s="4"/>
      <c r="BC34" s="5"/>
      <c r="BD34" s="10"/>
      <c r="BE34" s="10"/>
    </row>
    <row r="35" spans="2:57" x14ac:dyDescent="0.25">
      <c r="B35" s="4">
        <v>46051</v>
      </c>
      <c r="C35" t="s">
        <v>11</v>
      </c>
      <c r="E35" s="14"/>
      <c r="F35" s="14"/>
      <c r="G35">
        <f t="shared" si="1"/>
        <v>0</v>
      </c>
      <c r="N35" s="4"/>
      <c r="P35" s="5"/>
      <c r="Q35" s="10"/>
      <c r="R35" s="10"/>
      <c r="W35" s="4"/>
      <c r="Y35" s="5"/>
      <c r="Z35" s="10"/>
      <c r="AA35" s="10"/>
      <c r="AH35" s="4"/>
      <c r="AJ35" s="5"/>
      <c r="AK35" s="10"/>
      <c r="AL35" s="10"/>
      <c r="AQ35" s="4"/>
      <c r="AS35" s="5"/>
      <c r="AT35" s="10"/>
      <c r="AU35" s="10"/>
      <c r="BA35" s="4"/>
      <c r="BC35" s="5"/>
      <c r="BD35" s="10"/>
      <c r="BE35" s="10"/>
    </row>
    <row r="36" spans="2:57" x14ac:dyDescent="0.25">
      <c r="B36" s="4">
        <v>46052</v>
      </c>
      <c r="C36" t="s">
        <v>12</v>
      </c>
      <c r="E36" s="14"/>
      <c r="F36" s="14"/>
      <c r="G36">
        <f>(D36*8+E36)*75</f>
        <v>0</v>
      </c>
      <c r="I36" s="12"/>
      <c r="N36" s="4"/>
      <c r="P36" s="5"/>
      <c r="Q36" s="10"/>
      <c r="R36" s="10"/>
      <c r="W36" s="4"/>
      <c r="Y36" s="5"/>
      <c r="Z36" s="10"/>
      <c r="AA36" s="10"/>
      <c r="AH36" s="4"/>
      <c r="AJ36" s="5"/>
      <c r="AK36" s="10"/>
      <c r="AL36" s="10"/>
      <c r="AQ36" s="4"/>
      <c r="AS36" s="5"/>
      <c r="AT36" s="10"/>
      <c r="AU36" s="10"/>
      <c r="BA36" s="4"/>
      <c r="BC36" s="5"/>
      <c r="BD36" s="10"/>
      <c r="BE36" s="10"/>
    </row>
    <row r="37" spans="2:57" x14ac:dyDescent="0.25">
      <c r="B37" s="4">
        <v>46053</v>
      </c>
      <c r="C37" t="s">
        <v>6</v>
      </c>
      <c r="E37" s="14"/>
      <c r="F37" s="14"/>
      <c r="G37">
        <f>(D37*8+E37)*75</f>
        <v>0</v>
      </c>
      <c r="I37" s="12"/>
      <c r="N37" s="4"/>
      <c r="P37" s="5"/>
      <c r="Q37" s="13"/>
      <c r="R37" s="13"/>
      <c r="W37" s="4"/>
      <c r="Y37" s="5"/>
      <c r="Z37" s="13"/>
      <c r="AA37" s="13"/>
      <c r="AH37" s="4"/>
      <c r="AJ37" s="5"/>
      <c r="AK37" s="13"/>
      <c r="AL37" s="13"/>
      <c r="AQ37" s="4"/>
      <c r="AS37" s="5"/>
      <c r="AT37" s="13"/>
      <c r="AU37" s="13"/>
      <c r="BA37" s="4"/>
      <c r="BC37" s="5"/>
      <c r="BD37" s="13"/>
      <c r="BE37" s="13"/>
    </row>
    <row r="38" spans="2:57" x14ac:dyDescent="0.25">
      <c r="B38" s="1"/>
      <c r="D38" s="5">
        <f>SUM(D7:D37)</f>
        <v>0</v>
      </c>
      <c r="E38" s="10">
        <f>SUM(E7:E37)</f>
        <v>0</v>
      </c>
      <c r="F38" s="10">
        <f>SUM(F7:F37)</f>
        <v>6200</v>
      </c>
      <c r="G38">
        <f>SUM(G7:G36)</f>
        <v>0</v>
      </c>
    </row>
    <row r="39" spans="2:57" x14ac:dyDescent="0.25">
      <c r="B39" s="1"/>
      <c r="G39">
        <f>G38-F38</f>
        <v>-6200</v>
      </c>
    </row>
  </sheetData>
  <mergeCells count="12">
    <mergeCell ref="AZ4:BE4"/>
    <mergeCell ref="A2:F2"/>
    <mergeCell ref="M2:R2"/>
    <mergeCell ref="V2:AA2"/>
    <mergeCell ref="AG2:AL2"/>
    <mergeCell ref="AP2:AU2"/>
    <mergeCell ref="AZ2:BE2"/>
    <mergeCell ref="A4:F4"/>
    <mergeCell ref="M4:R4"/>
    <mergeCell ref="V4:AA4"/>
    <mergeCell ref="AG4:AL4"/>
    <mergeCell ref="AP4:AU4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81F7-28DC-4829-9834-B6C691FAC79A}">
  <dimension ref="A2:BE39"/>
  <sheetViews>
    <sheetView zoomScale="85" zoomScaleNormal="85" workbookViewId="0">
      <selection activeCell="C7" sqref="C7:C37"/>
    </sheetView>
  </sheetViews>
  <sheetFormatPr defaultRowHeight="15" x14ac:dyDescent="0.25"/>
  <cols>
    <col min="1" max="2" width="16.85546875" customWidth="1"/>
    <col min="3" max="3" width="14" customWidth="1"/>
    <col min="4" max="4" width="19.85546875" style="5" customWidth="1"/>
    <col min="5" max="5" width="17" style="3" customWidth="1"/>
    <col min="6" max="6" width="13.28515625" style="3" customWidth="1"/>
    <col min="9" max="9" width="13.5703125" customWidth="1"/>
    <col min="12" max="12" width="9.140625" customWidth="1"/>
    <col min="13" max="13" width="15" customWidth="1"/>
    <col min="14" max="14" width="14.28515625" customWidth="1"/>
    <col min="15" max="15" width="13.85546875" customWidth="1"/>
    <col min="16" max="16" width="14.5703125" customWidth="1"/>
    <col min="17" max="17" width="11.42578125" customWidth="1"/>
    <col min="21" max="21" width="9.140625" customWidth="1"/>
    <col min="22" max="22" width="7" customWidth="1"/>
    <col min="23" max="23" width="13.5703125" customWidth="1"/>
    <col min="24" max="24" width="12.28515625" customWidth="1"/>
    <col min="34" max="34" width="15.7109375" customWidth="1"/>
    <col min="35" max="35" width="14.42578125" customWidth="1"/>
    <col min="43" max="43" width="17" customWidth="1"/>
    <col min="44" max="44" width="13.5703125" customWidth="1"/>
    <col min="45" max="45" width="12.140625" customWidth="1"/>
    <col min="46" max="46" width="13.5703125" customWidth="1"/>
    <col min="53" max="53" width="14.28515625" customWidth="1"/>
    <col min="54" max="54" width="14" customWidth="1"/>
    <col min="55" max="55" width="11.140625" customWidth="1"/>
    <col min="56" max="56" width="12.7109375" customWidth="1"/>
  </cols>
  <sheetData>
    <row r="2" spans="1:57" x14ac:dyDescent="0.25">
      <c r="A2" s="22" t="s">
        <v>27</v>
      </c>
      <c r="B2" s="22"/>
      <c r="C2" s="22"/>
      <c r="D2" s="22"/>
      <c r="E2" s="22"/>
      <c r="F2" s="22"/>
      <c r="M2" s="22"/>
      <c r="N2" s="22"/>
      <c r="O2" s="22"/>
      <c r="P2" s="22"/>
      <c r="Q2" s="22"/>
      <c r="R2" s="22"/>
      <c r="V2" s="22"/>
      <c r="W2" s="22"/>
      <c r="X2" s="22"/>
      <c r="Y2" s="22"/>
      <c r="Z2" s="22"/>
      <c r="AA2" s="22"/>
      <c r="AG2" s="22"/>
      <c r="AH2" s="22"/>
      <c r="AI2" s="22"/>
      <c r="AJ2" s="22"/>
      <c r="AK2" s="22"/>
      <c r="AL2" s="22"/>
      <c r="AP2" s="22"/>
      <c r="AQ2" s="22"/>
      <c r="AR2" s="22"/>
      <c r="AS2" s="22"/>
      <c r="AT2" s="22"/>
      <c r="AU2" s="22"/>
      <c r="AZ2" s="22"/>
      <c r="BA2" s="22"/>
      <c r="BB2" s="22"/>
      <c r="BC2" s="22"/>
      <c r="BD2" s="22"/>
      <c r="BE2" s="22"/>
    </row>
    <row r="3" spans="1:57" x14ac:dyDescent="0.25">
      <c r="P3" s="5"/>
      <c r="Q3" s="3"/>
      <c r="R3" s="3"/>
      <c r="Y3" s="5"/>
      <c r="Z3" s="3"/>
      <c r="AA3" s="3"/>
      <c r="AJ3" s="5"/>
      <c r="AK3" s="3"/>
      <c r="AL3" s="3"/>
      <c r="AS3" s="5"/>
      <c r="AT3" s="3"/>
      <c r="AU3" s="3"/>
      <c r="BC3" s="5"/>
      <c r="BD3" s="3"/>
      <c r="BE3" s="3"/>
    </row>
    <row r="4" spans="1:57" x14ac:dyDescent="0.25">
      <c r="A4" s="21" t="s">
        <v>18</v>
      </c>
      <c r="B4" s="21"/>
      <c r="C4" s="21"/>
      <c r="D4" s="21"/>
      <c r="E4" s="21"/>
      <c r="F4" s="21"/>
      <c r="M4" s="21"/>
      <c r="N4" s="21"/>
      <c r="O4" s="21"/>
      <c r="P4" s="21"/>
      <c r="Q4" s="21"/>
      <c r="R4" s="21"/>
      <c r="V4" s="23"/>
      <c r="W4" s="23"/>
      <c r="X4" s="23"/>
      <c r="Y4" s="23"/>
      <c r="Z4" s="23"/>
      <c r="AA4" s="23"/>
      <c r="AG4" s="21"/>
      <c r="AH4" s="21"/>
      <c r="AI4" s="21"/>
      <c r="AJ4" s="21"/>
      <c r="AK4" s="21"/>
      <c r="AL4" s="21"/>
      <c r="AP4" s="21"/>
      <c r="AQ4" s="21"/>
      <c r="AR4" s="21"/>
      <c r="AS4" s="21"/>
      <c r="AT4" s="21"/>
      <c r="AU4" s="21"/>
      <c r="AZ4" s="21"/>
      <c r="BA4" s="21"/>
      <c r="BB4" s="21"/>
      <c r="BC4" s="21"/>
      <c r="BD4" s="21"/>
      <c r="BE4" s="21"/>
    </row>
    <row r="5" spans="1:57" x14ac:dyDescent="0.25">
      <c r="P5" s="5"/>
      <c r="Q5" s="3"/>
      <c r="R5" s="3"/>
      <c r="Y5" s="5"/>
      <c r="Z5" s="3"/>
      <c r="AA5" s="3"/>
      <c r="AG5" s="6"/>
      <c r="AH5" s="6"/>
      <c r="AI5" s="6"/>
      <c r="AJ5" s="7"/>
      <c r="AK5" s="8"/>
      <c r="AL5" s="8"/>
      <c r="AS5" s="5"/>
      <c r="AT5" s="3"/>
      <c r="AU5" s="3"/>
      <c r="BC5" s="5"/>
      <c r="BD5" s="3"/>
      <c r="BE5" s="3"/>
    </row>
    <row r="6" spans="1:57" x14ac:dyDescent="0.25">
      <c r="B6" t="s">
        <v>0</v>
      </c>
      <c r="C6" t="s">
        <v>1</v>
      </c>
      <c r="D6" s="5" t="s">
        <v>2</v>
      </c>
      <c r="E6" s="3" t="s">
        <v>3</v>
      </c>
      <c r="F6" s="3" t="s">
        <v>4</v>
      </c>
      <c r="G6" t="s">
        <v>14</v>
      </c>
      <c r="I6" t="s">
        <v>19</v>
      </c>
      <c r="P6" s="5"/>
      <c r="Q6" s="3"/>
      <c r="R6" s="3"/>
      <c r="Y6" s="5"/>
      <c r="Z6" s="3"/>
      <c r="AA6" s="3"/>
      <c r="AJ6" s="5"/>
      <c r="AK6" s="3"/>
      <c r="AL6" s="3"/>
      <c r="AS6" s="5"/>
      <c r="AT6" s="3"/>
      <c r="AU6" s="3"/>
      <c r="BC6" s="5"/>
      <c r="BD6" s="3"/>
      <c r="BE6" s="3"/>
    </row>
    <row r="7" spans="1:57" x14ac:dyDescent="0.25">
      <c r="B7" s="4">
        <v>45992</v>
      </c>
      <c r="C7" t="s">
        <v>9</v>
      </c>
      <c r="G7">
        <f>(D7*8+E7)*56.25</f>
        <v>0</v>
      </c>
      <c r="N7" s="4"/>
      <c r="P7" s="5"/>
      <c r="Q7" s="3"/>
      <c r="R7" s="3"/>
      <c r="W7" s="4"/>
      <c r="Y7" s="5"/>
      <c r="Z7" s="3"/>
      <c r="AA7" s="3"/>
      <c r="AH7" s="4"/>
      <c r="AJ7" s="5"/>
      <c r="AK7" s="3"/>
      <c r="AL7" s="3"/>
      <c r="AQ7" s="4"/>
      <c r="AS7" s="5"/>
      <c r="AT7" s="3"/>
      <c r="AU7" s="3"/>
      <c r="BA7" s="4"/>
      <c r="BC7" s="5"/>
      <c r="BD7" s="3"/>
      <c r="BE7" s="3"/>
    </row>
    <row r="8" spans="1:57" x14ac:dyDescent="0.25">
      <c r="B8" s="4">
        <v>45993</v>
      </c>
      <c r="C8" t="s">
        <v>10</v>
      </c>
      <c r="E8" s="13"/>
      <c r="G8">
        <f t="shared" ref="G8:G37" si="0">(D8*8+E8)*56.25</f>
        <v>0</v>
      </c>
      <c r="N8" s="4"/>
      <c r="P8" s="5"/>
      <c r="Q8" s="3"/>
      <c r="R8" s="3"/>
      <c r="W8" s="4"/>
      <c r="Y8" s="5"/>
      <c r="Z8" s="3"/>
      <c r="AA8" s="3"/>
      <c r="AH8" s="4"/>
      <c r="AJ8" s="5"/>
      <c r="AK8" s="3"/>
      <c r="AL8" s="3"/>
      <c r="AQ8" s="4"/>
      <c r="AS8" s="5"/>
      <c r="AT8" s="3"/>
      <c r="AU8" s="3"/>
      <c r="BA8" s="4"/>
      <c r="BC8" s="5"/>
      <c r="BD8" s="3"/>
      <c r="BE8" s="3"/>
    </row>
    <row r="9" spans="1:57" x14ac:dyDescent="0.25">
      <c r="B9" s="4">
        <v>45994</v>
      </c>
      <c r="C9" t="s">
        <v>11</v>
      </c>
      <c r="E9" s="13"/>
      <c r="G9">
        <f t="shared" si="0"/>
        <v>0</v>
      </c>
      <c r="N9" s="4"/>
      <c r="P9" s="5"/>
      <c r="Q9" s="3"/>
      <c r="R9" s="3"/>
      <c r="W9" s="4"/>
      <c r="Y9" s="5"/>
      <c r="Z9" s="3"/>
      <c r="AA9" s="3"/>
      <c r="AH9" s="4"/>
      <c r="AJ9" s="5"/>
      <c r="AK9" s="3"/>
      <c r="AL9" s="3"/>
      <c r="AQ9" s="4"/>
      <c r="AS9" s="5"/>
      <c r="AT9" s="3"/>
      <c r="AU9" s="3"/>
      <c r="BA9" s="4"/>
      <c r="BC9" s="5"/>
      <c r="BD9" s="3"/>
      <c r="BE9" s="3"/>
    </row>
    <row r="10" spans="1:57" x14ac:dyDescent="0.25">
      <c r="B10" s="4">
        <v>45995</v>
      </c>
      <c r="C10" t="s">
        <v>12</v>
      </c>
      <c r="E10" s="13"/>
      <c r="F10" s="13"/>
      <c r="G10">
        <f t="shared" si="0"/>
        <v>0</v>
      </c>
      <c r="N10" s="4"/>
      <c r="P10" s="5"/>
      <c r="Q10" s="3"/>
      <c r="R10" s="3"/>
      <c r="W10" s="4"/>
      <c r="Y10" s="5"/>
      <c r="Z10" s="3"/>
      <c r="AA10" s="3"/>
      <c r="AH10" s="4"/>
      <c r="AJ10" s="5"/>
      <c r="AK10" s="3"/>
      <c r="AL10" s="3"/>
      <c r="AQ10" s="4"/>
      <c r="AS10" s="5"/>
      <c r="AT10" s="3"/>
      <c r="AU10" s="3"/>
      <c r="BA10" s="4"/>
      <c r="BC10" s="5"/>
      <c r="BD10" s="3"/>
      <c r="BE10" s="3"/>
    </row>
    <row r="11" spans="1:57" x14ac:dyDescent="0.25">
      <c r="B11" s="4">
        <v>45996</v>
      </c>
      <c r="C11" t="s">
        <v>6</v>
      </c>
      <c r="E11" s="13"/>
      <c r="F11" s="13"/>
      <c r="G11">
        <f t="shared" si="0"/>
        <v>0</v>
      </c>
      <c r="N11" s="4"/>
      <c r="P11" s="5"/>
      <c r="Q11" s="3"/>
      <c r="R11" s="3"/>
      <c r="W11" s="4"/>
      <c r="Y11" s="5"/>
      <c r="Z11" s="3"/>
      <c r="AA11" s="3"/>
      <c r="AH11" s="4"/>
      <c r="AJ11" s="5"/>
      <c r="AK11" s="3"/>
      <c r="AL11" s="3"/>
      <c r="AQ11" s="4"/>
      <c r="AS11" s="5"/>
      <c r="AT11" s="3"/>
      <c r="AU11" s="3"/>
      <c r="BA11" s="4"/>
      <c r="BC11" s="5"/>
      <c r="BD11" s="3"/>
      <c r="BE11" s="3"/>
    </row>
    <row r="12" spans="1:57" x14ac:dyDescent="0.25">
      <c r="B12" s="4">
        <v>45997</v>
      </c>
      <c r="C12" t="s">
        <v>7</v>
      </c>
      <c r="E12" s="13"/>
      <c r="F12" s="13"/>
      <c r="G12">
        <f t="shared" si="0"/>
        <v>0</v>
      </c>
      <c r="N12" s="4"/>
      <c r="P12" s="5"/>
      <c r="Q12" s="3"/>
      <c r="R12" s="3"/>
      <c r="W12" s="4"/>
      <c r="Y12" s="5"/>
      <c r="Z12" s="3"/>
      <c r="AA12" s="3"/>
      <c r="AH12" s="4"/>
      <c r="AJ12" s="5"/>
      <c r="AK12" s="3"/>
      <c r="AL12" s="3"/>
      <c r="AQ12" s="4"/>
      <c r="AS12" s="5"/>
      <c r="AT12" s="3"/>
      <c r="AU12" s="3"/>
      <c r="BA12" s="4"/>
      <c r="BC12" s="5"/>
      <c r="BD12" s="3"/>
      <c r="BE12" s="3"/>
    </row>
    <row r="13" spans="1:57" x14ac:dyDescent="0.25">
      <c r="B13" s="4">
        <v>45998</v>
      </c>
      <c r="C13" t="s">
        <v>8</v>
      </c>
      <c r="E13" s="13"/>
      <c r="F13" s="13"/>
      <c r="G13">
        <f t="shared" si="0"/>
        <v>0</v>
      </c>
      <c r="N13" s="4"/>
      <c r="P13" s="5"/>
      <c r="Q13" s="3"/>
      <c r="R13" s="3"/>
      <c r="W13" s="4"/>
      <c r="Y13" s="5"/>
      <c r="Z13" s="3"/>
      <c r="AA13" s="3"/>
      <c r="AH13" s="4"/>
      <c r="AJ13" s="5"/>
      <c r="AK13" s="3"/>
      <c r="AL13" s="3"/>
      <c r="AQ13" s="4"/>
      <c r="AS13" s="5"/>
      <c r="AT13" s="3"/>
      <c r="AU13" s="3"/>
      <c r="BA13" s="4"/>
      <c r="BC13" s="5"/>
      <c r="BD13" s="3"/>
      <c r="BE13" s="3"/>
    </row>
    <row r="14" spans="1:57" x14ac:dyDescent="0.25">
      <c r="B14" s="4">
        <v>45999</v>
      </c>
      <c r="C14" t="s">
        <v>9</v>
      </c>
      <c r="E14" s="13"/>
      <c r="F14" s="13"/>
      <c r="G14">
        <f t="shared" si="0"/>
        <v>0</v>
      </c>
      <c r="N14" s="4"/>
      <c r="P14" s="5"/>
      <c r="Q14" s="3"/>
      <c r="R14" s="3"/>
      <c r="W14" s="4"/>
      <c r="Y14" s="5"/>
      <c r="Z14" s="3"/>
      <c r="AA14" s="3"/>
      <c r="AH14" s="4"/>
      <c r="AJ14" s="5"/>
      <c r="AK14" s="3"/>
      <c r="AL14" s="3"/>
      <c r="AQ14" s="4"/>
      <c r="AS14" s="5"/>
      <c r="AT14" s="3"/>
      <c r="AU14" s="3"/>
      <c r="BA14" s="4"/>
      <c r="BC14" s="5"/>
      <c r="BD14" s="3"/>
      <c r="BE14" s="3"/>
    </row>
    <row r="15" spans="1:57" x14ac:dyDescent="0.25">
      <c r="B15" s="4">
        <v>46000</v>
      </c>
      <c r="C15" t="s">
        <v>10</v>
      </c>
      <c r="E15" s="13"/>
      <c r="F15" s="13"/>
      <c r="G15">
        <f t="shared" si="0"/>
        <v>0</v>
      </c>
      <c r="N15" s="4"/>
      <c r="P15" s="5"/>
      <c r="Q15" s="3"/>
      <c r="R15" s="3"/>
      <c r="W15" s="4"/>
      <c r="Y15" s="5"/>
      <c r="Z15" s="3"/>
      <c r="AA15" s="3"/>
      <c r="AH15" s="4"/>
      <c r="AJ15" s="5"/>
      <c r="AK15" s="3"/>
      <c r="AL15" s="3"/>
      <c r="AQ15" s="4"/>
      <c r="AS15" s="5"/>
      <c r="AT15" s="3"/>
      <c r="AU15" s="3"/>
      <c r="BA15" s="4"/>
      <c r="BC15" s="5"/>
      <c r="BD15" s="3"/>
      <c r="BE15" s="3"/>
    </row>
    <row r="16" spans="1:57" x14ac:dyDescent="0.25">
      <c r="B16" s="4">
        <v>46001</v>
      </c>
      <c r="C16" t="s">
        <v>11</v>
      </c>
      <c r="E16" s="13"/>
      <c r="F16" s="13"/>
      <c r="G16">
        <f t="shared" si="0"/>
        <v>0</v>
      </c>
      <c r="N16" s="4"/>
      <c r="P16" s="5"/>
      <c r="Q16" s="3"/>
      <c r="R16" s="3"/>
      <c r="W16" s="4"/>
      <c r="Y16" s="5"/>
      <c r="Z16" s="3"/>
      <c r="AA16" s="3"/>
      <c r="AH16" s="4"/>
      <c r="AJ16" s="5"/>
      <c r="AK16" s="3"/>
      <c r="AL16" s="3"/>
      <c r="AQ16" s="4"/>
      <c r="AS16" s="5"/>
      <c r="AT16" s="3"/>
      <c r="AU16" s="3"/>
      <c r="BA16" s="4"/>
      <c r="BC16" s="5"/>
      <c r="BD16" s="3"/>
      <c r="BE16" s="3"/>
    </row>
    <row r="17" spans="2:57" x14ac:dyDescent="0.25">
      <c r="B17" s="4">
        <v>46002</v>
      </c>
      <c r="C17" t="s">
        <v>12</v>
      </c>
      <c r="E17" s="13"/>
      <c r="F17" s="13"/>
      <c r="G17">
        <f t="shared" si="0"/>
        <v>0</v>
      </c>
      <c r="N17" s="4"/>
      <c r="P17" s="5"/>
      <c r="Q17" s="3"/>
      <c r="R17" s="3"/>
      <c r="W17" s="4"/>
      <c r="Y17" s="5"/>
      <c r="Z17" s="3"/>
      <c r="AA17" s="3"/>
      <c r="AH17" s="4"/>
      <c r="AJ17" s="5"/>
      <c r="AK17" s="3"/>
      <c r="AL17" s="3"/>
      <c r="AQ17" s="4"/>
      <c r="AS17" s="5"/>
      <c r="AT17" s="3"/>
      <c r="AU17" s="3"/>
      <c r="BA17" s="4"/>
      <c r="BC17" s="5"/>
      <c r="BD17" s="3"/>
      <c r="BE17" s="3"/>
    </row>
    <row r="18" spans="2:57" x14ac:dyDescent="0.25">
      <c r="B18" s="4">
        <v>46003</v>
      </c>
      <c r="C18" t="s">
        <v>6</v>
      </c>
      <c r="E18" s="13"/>
      <c r="F18" s="13"/>
      <c r="G18">
        <f t="shared" si="0"/>
        <v>0</v>
      </c>
      <c r="N18" s="4"/>
      <c r="P18" s="5"/>
      <c r="Q18" s="3"/>
      <c r="R18" s="3"/>
      <c r="W18" s="4"/>
      <c r="Y18" s="5"/>
      <c r="Z18" s="3"/>
      <c r="AA18" s="3"/>
      <c r="AH18" s="4"/>
      <c r="AJ18" s="5"/>
      <c r="AK18" s="3"/>
      <c r="AL18" s="3"/>
      <c r="AQ18" s="4"/>
      <c r="AS18" s="5"/>
      <c r="AT18" s="3"/>
      <c r="AU18" s="3"/>
      <c r="BA18" s="4"/>
      <c r="BC18" s="5"/>
      <c r="BD18" s="3"/>
      <c r="BE18" s="3"/>
    </row>
    <row r="19" spans="2:57" x14ac:dyDescent="0.25">
      <c r="B19" s="4">
        <v>46004</v>
      </c>
      <c r="C19" t="s">
        <v>7</v>
      </c>
      <c r="E19" s="13"/>
      <c r="F19" s="13"/>
      <c r="G19">
        <f t="shared" si="0"/>
        <v>0</v>
      </c>
      <c r="I19" t="s">
        <v>21</v>
      </c>
      <c r="N19" s="4"/>
      <c r="P19" s="5"/>
      <c r="Q19" s="3"/>
      <c r="R19" s="3"/>
      <c r="W19" s="4"/>
      <c r="Y19" s="5"/>
      <c r="Z19" s="3"/>
      <c r="AA19" s="3"/>
      <c r="AH19" s="4"/>
      <c r="AJ19" s="5"/>
      <c r="AK19" s="3"/>
      <c r="AL19" s="3"/>
      <c r="AQ19" s="4"/>
      <c r="AS19" s="5"/>
      <c r="AT19" s="3"/>
      <c r="AU19" s="3"/>
      <c r="BA19" s="4"/>
      <c r="BC19" s="5"/>
      <c r="BD19" s="3"/>
      <c r="BE19" s="3"/>
    </row>
    <row r="20" spans="2:57" x14ac:dyDescent="0.25">
      <c r="B20" s="4">
        <v>46005</v>
      </c>
      <c r="C20" t="s">
        <v>8</v>
      </c>
      <c r="E20" s="13"/>
      <c r="F20" s="13"/>
      <c r="G20">
        <f t="shared" si="0"/>
        <v>0</v>
      </c>
      <c r="I20" t="s">
        <v>23</v>
      </c>
      <c r="N20" s="4"/>
      <c r="P20" s="5"/>
      <c r="Q20" s="3"/>
      <c r="R20" s="3"/>
      <c r="W20" s="4"/>
      <c r="Y20" s="5"/>
      <c r="Z20" s="3"/>
      <c r="AA20" s="3"/>
      <c r="AH20" s="4"/>
      <c r="AJ20" s="5"/>
      <c r="AK20" s="3"/>
      <c r="AL20" s="3"/>
      <c r="AQ20" s="4"/>
      <c r="AS20" s="5"/>
      <c r="AT20" s="3"/>
      <c r="AU20" s="3"/>
      <c r="BA20" s="4"/>
      <c r="BC20" s="5"/>
      <c r="BD20" s="3"/>
      <c r="BE20" s="3"/>
    </row>
    <row r="21" spans="2:57" x14ac:dyDescent="0.25">
      <c r="B21" s="4">
        <v>46006</v>
      </c>
      <c r="C21" t="s">
        <v>9</v>
      </c>
      <c r="E21" s="13"/>
      <c r="F21" s="13"/>
      <c r="G21">
        <f t="shared" si="0"/>
        <v>0</v>
      </c>
      <c r="N21" s="4"/>
      <c r="P21" s="5"/>
      <c r="Q21" s="3"/>
      <c r="R21" s="3"/>
      <c r="W21" s="4"/>
      <c r="Y21" s="5"/>
      <c r="Z21" s="3"/>
      <c r="AA21" s="3"/>
      <c r="AH21" s="4"/>
      <c r="AJ21" s="5"/>
      <c r="AK21" s="3"/>
      <c r="AL21" s="3"/>
      <c r="AQ21" s="4"/>
      <c r="AS21" s="5"/>
      <c r="AT21" s="3"/>
      <c r="AU21" s="3"/>
      <c r="BA21" s="4"/>
      <c r="BC21" s="5"/>
      <c r="BD21" s="3"/>
      <c r="BE21" s="3"/>
    </row>
    <row r="22" spans="2:57" x14ac:dyDescent="0.25">
      <c r="B22" s="4">
        <v>46007</v>
      </c>
      <c r="C22" t="s">
        <v>10</v>
      </c>
      <c r="E22" s="13"/>
      <c r="F22" s="13"/>
      <c r="G22">
        <f t="shared" si="0"/>
        <v>0</v>
      </c>
      <c r="N22" s="4"/>
      <c r="P22" s="5"/>
      <c r="Q22" s="3"/>
      <c r="R22" s="3"/>
      <c r="W22" s="4"/>
      <c r="Y22" s="5"/>
      <c r="Z22" s="3"/>
      <c r="AA22" s="3"/>
      <c r="AH22" s="4"/>
      <c r="AJ22" s="5"/>
      <c r="AK22" s="3"/>
      <c r="AL22" s="3"/>
      <c r="AQ22" s="4"/>
      <c r="AS22" s="5"/>
      <c r="AT22" s="3"/>
      <c r="AU22" s="3"/>
      <c r="BA22" s="4"/>
      <c r="BC22" s="5"/>
      <c r="BD22" s="3"/>
      <c r="BE22" s="3"/>
    </row>
    <row r="23" spans="2:57" x14ac:dyDescent="0.25">
      <c r="B23" s="4">
        <v>46008</v>
      </c>
      <c r="C23" t="s">
        <v>11</v>
      </c>
      <c r="E23" s="13"/>
      <c r="F23" s="13"/>
      <c r="G23">
        <f t="shared" si="0"/>
        <v>0</v>
      </c>
      <c r="N23" s="4"/>
      <c r="P23" s="5"/>
      <c r="Q23" s="3"/>
      <c r="R23" s="3"/>
      <c r="W23" s="4"/>
      <c r="Y23" s="5"/>
      <c r="Z23" s="3"/>
      <c r="AA23" s="3"/>
      <c r="AH23" s="4"/>
      <c r="AJ23" s="5"/>
      <c r="AK23" s="3"/>
      <c r="AL23" s="3"/>
      <c r="AQ23" s="4"/>
      <c r="AS23" s="5"/>
      <c r="AT23" s="3"/>
      <c r="AU23" s="3"/>
      <c r="BA23" s="4"/>
      <c r="BC23" s="5"/>
      <c r="BD23" s="3"/>
      <c r="BE23" s="3"/>
    </row>
    <row r="24" spans="2:57" x14ac:dyDescent="0.25">
      <c r="B24" s="4">
        <v>46009</v>
      </c>
      <c r="C24" t="s">
        <v>12</v>
      </c>
      <c r="E24" s="13"/>
      <c r="F24" s="13"/>
      <c r="G24">
        <f t="shared" si="0"/>
        <v>0</v>
      </c>
      <c r="I24" t="s">
        <v>23</v>
      </c>
      <c r="N24" s="4"/>
      <c r="P24" s="5"/>
      <c r="Q24" s="3"/>
      <c r="R24" s="3"/>
      <c r="W24" s="4"/>
      <c r="Y24" s="5"/>
      <c r="Z24" s="3"/>
      <c r="AA24" s="3"/>
      <c r="AH24" s="4"/>
      <c r="AJ24" s="5"/>
      <c r="AK24" s="3"/>
      <c r="AL24" s="3"/>
      <c r="AQ24" s="4"/>
      <c r="AS24" s="5"/>
      <c r="AT24" s="3"/>
      <c r="AU24" s="3"/>
      <c r="BA24" s="4"/>
      <c r="BC24" s="5"/>
      <c r="BD24" s="3"/>
      <c r="BE24" s="3"/>
    </row>
    <row r="25" spans="2:57" x14ac:dyDescent="0.25">
      <c r="B25" s="4">
        <v>46010</v>
      </c>
      <c r="C25" t="s">
        <v>6</v>
      </c>
      <c r="E25" s="13"/>
      <c r="F25" s="13"/>
      <c r="G25">
        <f t="shared" si="0"/>
        <v>0</v>
      </c>
      <c r="I25" t="s">
        <v>22</v>
      </c>
      <c r="N25" s="4"/>
      <c r="P25" s="5"/>
      <c r="Q25" s="3"/>
      <c r="R25" s="3"/>
      <c r="W25" s="4"/>
      <c r="Y25" s="5"/>
      <c r="Z25" s="3"/>
      <c r="AA25" s="3"/>
      <c r="AH25" s="4"/>
      <c r="AJ25" s="5"/>
      <c r="AK25" s="3"/>
      <c r="AL25" s="3"/>
      <c r="AQ25" s="4"/>
      <c r="AS25" s="5"/>
      <c r="AT25" s="3"/>
      <c r="AU25" s="3"/>
      <c r="BA25" s="4"/>
      <c r="BC25" s="5"/>
      <c r="BD25" s="3"/>
      <c r="BE25" s="3"/>
    </row>
    <row r="26" spans="2:57" x14ac:dyDescent="0.25">
      <c r="B26" s="4">
        <v>46011</v>
      </c>
      <c r="C26" t="s">
        <v>7</v>
      </c>
      <c r="E26" s="13"/>
      <c r="F26" s="13"/>
      <c r="G26">
        <f t="shared" si="0"/>
        <v>0</v>
      </c>
      <c r="N26" s="4"/>
      <c r="P26" s="5"/>
      <c r="Q26" s="3"/>
      <c r="R26" s="3"/>
      <c r="W26" s="4"/>
      <c r="Y26" s="5"/>
      <c r="Z26" s="3"/>
      <c r="AA26" s="3"/>
      <c r="AH26" s="4"/>
      <c r="AJ26" s="5"/>
      <c r="AK26" s="3"/>
      <c r="AL26" s="3"/>
      <c r="AQ26" s="4"/>
      <c r="AS26" s="5"/>
      <c r="AT26" s="3"/>
      <c r="AU26" s="3"/>
      <c r="BA26" s="4"/>
      <c r="BC26" s="5"/>
      <c r="BD26" s="3"/>
      <c r="BE26" s="3"/>
    </row>
    <row r="27" spans="2:57" x14ac:dyDescent="0.25">
      <c r="B27" s="4">
        <v>46012</v>
      </c>
      <c r="C27" t="s">
        <v>8</v>
      </c>
      <c r="E27" s="13"/>
      <c r="F27" s="13"/>
      <c r="G27">
        <f t="shared" si="0"/>
        <v>0</v>
      </c>
      <c r="N27" s="4"/>
      <c r="P27" s="5"/>
      <c r="Q27" s="3"/>
      <c r="R27" s="3"/>
      <c r="W27" s="4"/>
      <c r="Y27" s="5"/>
      <c r="Z27" s="3"/>
      <c r="AA27" s="3"/>
      <c r="AH27" s="4"/>
      <c r="AJ27" s="5"/>
      <c r="AK27" s="3"/>
      <c r="AL27" s="3"/>
      <c r="AQ27" s="4"/>
      <c r="AS27" s="5"/>
      <c r="AT27" s="3"/>
      <c r="AU27" s="3"/>
      <c r="BA27" s="4"/>
      <c r="BC27" s="5"/>
      <c r="BD27" s="3"/>
      <c r="BE27" s="3"/>
    </row>
    <row r="28" spans="2:57" x14ac:dyDescent="0.25">
      <c r="B28" s="4">
        <v>46013</v>
      </c>
      <c r="C28" t="s">
        <v>9</v>
      </c>
      <c r="E28" s="13"/>
      <c r="F28" s="13"/>
      <c r="G28">
        <f t="shared" si="0"/>
        <v>0</v>
      </c>
      <c r="N28" s="4"/>
      <c r="P28" s="5"/>
      <c r="Q28" s="3"/>
      <c r="R28" s="3"/>
      <c r="W28" s="4"/>
      <c r="Y28" s="5"/>
      <c r="Z28" s="3"/>
      <c r="AA28" s="3"/>
      <c r="AH28" s="4"/>
      <c r="AJ28" s="5"/>
      <c r="AK28" s="3"/>
      <c r="AL28" s="3"/>
      <c r="AQ28" s="4"/>
      <c r="AS28" s="5"/>
      <c r="AT28" s="3"/>
      <c r="AU28" s="3"/>
      <c r="BA28" s="4"/>
      <c r="BC28" s="5"/>
      <c r="BD28" s="3"/>
      <c r="BE28" s="3"/>
    </row>
    <row r="29" spans="2:57" x14ac:dyDescent="0.25">
      <c r="B29" s="4">
        <v>46014</v>
      </c>
      <c r="C29" t="s">
        <v>10</v>
      </c>
      <c r="E29" s="13"/>
      <c r="F29" s="13"/>
      <c r="G29">
        <f t="shared" si="0"/>
        <v>0</v>
      </c>
      <c r="N29" s="4"/>
      <c r="P29" s="5"/>
      <c r="Q29" s="3"/>
      <c r="R29" s="3"/>
      <c r="W29" s="4"/>
      <c r="Y29" s="5"/>
      <c r="Z29" s="3"/>
      <c r="AA29" s="3"/>
      <c r="AH29" s="4"/>
      <c r="AJ29" s="5"/>
      <c r="AK29" s="3"/>
      <c r="AL29" s="3"/>
      <c r="AQ29" s="4"/>
      <c r="AS29" s="5"/>
      <c r="AT29" s="3"/>
      <c r="AU29" s="3"/>
      <c r="BA29" s="4"/>
      <c r="BC29" s="5"/>
      <c r="BD29" s="3"/>
      <c r="BE29" s="3"/>
    </row>
    <row r="30" spans="2:57" x14ac:dyDescent="0.25">
      <c r="B30" s="4">
        <v>46015</v>
      </c>
      <c r="C30" t="s">
        <v>11</v>
      </c>
      <c r="E30" s="13"/>
      <c r="F30" s="13"/>
      <c r="G30">
        <f t="shared" si="0"/>
        <v>0</v>
      </c>
      <c r="N30" s="4"/>
      <c r="P30" s="5"/>
      <c r="Q30" s="3"/>
      <c r="R30" s="3"/>
      <c r="W30" s="4"/>
      <c r="Y30" s="5"/>
      <c r="Z30" s="3"/>
      <c r="AA30" s="3"/>
      <c r="AH30" s="4"/>
      <c r="AJ30" s="5"/>
      <c r="AK30" s="3"/>
      <c r="AL30" s="3"/>
      <c r="AQ30" s="4"/>
      <c r="AS30" s="5"/>
      <c r="AT30" s="3"/>
      <c r="AU30" s="3"/>
      <c r="BA30" s="4"/>
      <c r="BC30" s="5"/>
      <c r="BD30" s="3"/>
      <c r="BE30" s="3"/>
    </row>
    <row r="31" spans="2:57" x14ac:dyDescent="0.25">
      <c r="B31" s="4">
        <v>46016</v>
      </c>
      <c r="C31" t="s">
        <v>12</v>
      </c>
      <c r="E31" s="13"/>
      <c r="F31" s="13"/>
      <c r="G31">
        <f t="shared" si="0"/>
        <v>0</v>
      </c>
      <c r="N31" s="4"/>
      <c r="P31" s="5"/>
      <c r="Q31" s="3"/>
      <c r="R31" s="3"/>
      <c r="W31" s="4"/>
      <c r="Y31" s="5"/>
      <c r="Z31" s="3"/>
      <c r="AA31" s="3"/>
      <c r="AH31" s="4"/>
      <c r="AJ31" s="5"/>
      <c r="AK31" s="3"/>
      <c r="AL31" s="3"/>
      <c r="AQ31" s="4"/>
      <c r="AS31" s="5"/>
      <c r="AT31" s="3"/>
      <c r="AU31" s="3"/>
      <c r="BA31" s="4"/>
      <c r="BC31" s="5"/>
      <c r="BD31" s="3"/>
      <c r="BE31" s="3"/>
    </row>
    <row r="32" spans="2:57" x14ac:dyDescent="0.25">
      <c r="B32" s="4">
        <v>46017</v>
      </c>
      <c r="C32" t="s">
        <v>6</v>
      </c>
      <c r="E32" s="13"/>
      <c r="F32" s="13"/>
      <c r="G32">
        <f t="shared" si="0"/>
        <v>0</v>
      </c>
      <c r="N32" s="4"/>
      <c r="P32" s="5"/>
      <c r="Q32" s="3"/>
      <c r="R32" s="3"/>
      <c r="W32" s="4"/>
      <c r="Y32" s="5"/>
      <c r="Z32" s="3"/>
      <c r="AA32" s="3"/>
      <c r="AH32" s="4"/>
      <c r="AJ32" s="5"/>
      <c r="AK32" s="3"/>
      <c r="AL32" s="3"/>
      <c r="AQ32" s="4"/>
      <c r="AS32" s="5"/>
      <c r="AT32" s="3"/>
      <c r="AU32" s="3"/>
      <c r="BA32" s="4"/>
      <c r="BC32" s="5"/>
      <c r="BD32" s="3"/>
      <c r="BE32" s="3"/>
    </row>
    <row r="33" spans="2:57" x14ac:dyDescent="0.25">
      <c r="B33" s="4">
        <v>46018</v>
      </c>
      <c r="C33" t="s">
        <v>7</v>
      </c>
      <c r="E33" s="13"/>
      <c r="F33" s="13"/>
      <c r="G33">
        <f t="shared" si="0"/>
        <v>0</v>
      </c>
      <c r="N33" s="4"/>
      <c r="P33" s="5"/>
      <c r="Q33" s="3"/>
      <c r="R33" s="3"/>
      <c r="W33" s="4"/>
      <c r="Y33" s="5"/>
      <c r="Z33" s="3"/>
      <c r="AA33" s="3"/>
      <c r="AH33" s="4"/>
      <c r="AJ33" s="5"/>
      <c r="AK33" s="3"/>
      <c r="AL33" s="3"/>
      <c r="AQ33" s="4"/>
      <c r="AS33" s="5"/>
      <c r="AT33" s="3"/>
      <c r="AU33" s="3"/>
      <c r="BA33" s="4"/>
      <c r="BC33" s="5"/>
      <c r="BD33" s="3"/>
      <c r="BE33" s="3"/>
    </row>
    <row r="34" spans="2:57" x14ac:dyDescent="0.25">
      <c r="B34" s="4">
        <v>46019</v>
      </c>
      <c r="C34" t="s">
        <v>8</v>
      </c>
      <c r="E34" s="13"/>
      <c r="F34" s="13"/>
      <c r="G34">
        <f t="shared" si="0"/>
        <v>0</v>
      </c>
      <c r="N34" s="4"/>
      <c r="P34" s="5"/>
      <c r="Q34" s="3"/>
      <c r="R34" s="3"/>
      <c r="W34" s="4"/>
      <c r="Y34" s="5"/>
      <c r="Z34" s="3"/>
      <c r="AA34" s="3"/>
      <c r="AH34" s="4"/>
      <c r="AJ34" s="5"/>
      <c r="AK34" s="3"/>
      <c r="AL34" s="3"/>
      <c r="AQ34" s="4"/>
      <c r="AS34" s="5"/>
      <c r="AT34" s="3"/>
      <c r="AU34" s="3"/>
      <c r="BA34" s="4"/>
      <c r="BC34" s="5"/>
      <c r="BD34" s="3"/>
      <c r="BE34" s="3"/>
    </row>
    <row r="35" spans="2:57" x14ac:dyDescent="0.25">
      <c r="B35" s="4">
        <v>46020</v>
      </c>
      <c r="C35" t="s">
        <v>9</v>
      </c>
      <c r="E35" s="13"/>
      <c r="F35" s="13"/>
      <c r="G35">
        <f t="shared" si="0"/>
        <v>0</v>
      </c>
      <c r="I35" s="12">
        <v>45931</v>
      </c>
      <c r="N35" s="4"/>
      <c r="P35" s="5"/>
      <c r="Q35" s="3"/>
      <c r="R35" s="3"/>
      <c r="W35" s="4"/>
      <c r="Y35" s="5"/>
      <c r="Z35" s="3"/>
      <c r="AA35" s="3"/>
      <c r="AH35" s="4"/>
      <c r="AJ35" s="5"/>
      <c r="AK35" s="3"/>
      <c r="AL35" s="3"/>
      <c r="AQ35" s="4"/>
      <c r="AS35" s="5"/>
      <c r="AT35" s="3"/>
      <c r="AU35" s="3"/>
      <c r="BA35" s="4"/>
      <c r="BC35" s="5"/>
      <c r="BD35" s="3"/>
      <c r="BE35" s="3"/>
    </row>
    <row r="36" spans="2:57" x14ac:dyDescent="0.25">
      <c r="B36" s="4">
        <v>46021</v>
      </c>
      <c r="C36" t="s">
        <v>10</v>
      </c>
      <c r="E36" s="13"/>
      <c r="F36" s="13"/>
      <c r="G36">
        <f t="shared" si="0"/>
        <v>0</v>
      </c>
      <c r="I36" t="s">
        <v>25</v>
      </c>
      <c r="N36" s="4"/>
      <c r="P36" s="5"/>
      <c r="Q36" s="3"/>
      <c r="R36" s="3"/>
      <c r="W36" s="4"/>
      <c r="Y36" s="5"/>
      <c r="Z36" s="3"/>
      <c r="AA36" s="3"/>
      <c r="AH36" s="4"/>
      <c r="AJ36" s="5"/>
      <c r="AK36" s="3"/>
      <c r="AL36" s="3"/>
      <c r="AQ36" s="4"/>
      <c r="AS36" s="5"/>
      <c r="AT36" s="3"/>
      <c r="AU36" s="3"/>
      <c r="BA36" s="4"/>
      <c r="BC36" s="5"/>
      <c r="BD36" s="3"/>
      <c r="BE36" s="3"/>
    </row>
    <row r="37" spans="2:57" x14ac:dyDescent="0.25">
      <c r="B37" s="4">
        <v>46022</v>
      </c>
      <c r="C37" t="s">
        <v>11</v>
      </c>
      <c r="E37" s="13"/>
      <c r="F37" s="13"/>
      <c r="G37">
        <f t="shared" si="0"/>
        <v>0</v>
      </c>
      <c r="N37" s="4"/>
      <c r="P37" s="5"/>
      <c r="Q37" s="13"/>
      <c r="R37" s="13"/>
      <c r="W37" s="4"/>
      <c r="Y37" s="5"/>
      <c r="Z37" s="13"/>
      <c r="AA37" s="13"/>
      <c r="AH37" s="4"/>
      <c r="AJ37" s="5"/>
      <c r="AK37" s="13"/>
      <c r="AL37" s="13"/>
      <c r="AQ37" s="4"/>
      <c r="AS37" s="5"/>
      <c r="AT37" s="13"/>
      <c r="AU37" s="13"/>
      <c r="BA37" s="4"/>
      <c r="BC37" s="5"/>
      <c r="BD37" s="13"/>
      <c r="BE37" s="13"/>
    </row>
    <row r="38" spans="2:57" x14ac:dyDescent="0.25">
      <c r="B38" s="1"/>
      <c r="D38" s="5">
        <f>SUM(D7:D37)</f>
        <v>0</v>
      </c>
      <c r="E38" s="3">
        <f>SUM(E7:E37)</f>
        <v>0</v>
      </c>
      <c r="F38" s="3">
        <f>SUM(F7:F37)</f>
        <v>0</v>
      </c>
      <c r="G38">
        <f>SUM(G7:G36)</f>
        <v>0</v>
      </c>
    </row>
    <row r="39" spans="2:57" x14ac:dyDescent="0.25">
      <c r="B39" s="1"/>
      <c r="G39">
        <f>G38-F38</f>
        <v>0</v>
      </c>
    </row>
  </sheetData>
  <mergeCells count="12">
    <mergeCell ref="AZ4:BE4"/>
    <mergeCell ref="A2:F2"/>
    <mergeCell ref="M2:R2"/>
    <mergeCell ref="V2:AA2"/>
    <mergeCell ref="AG2:AL2"/>
    <mergeCell ref="AP2:AU2"/>
    <mergeCell ref="AZ2:BE2"/>
    <mergeCell ref="A4:F4"/>
    <mergeCell ref="M4:R4"/>
    <mergeCell ref="V4:AA4"/>
    <mergeCell ref="AG4:AL4"/>
    <mergeCell ref="AP4:AU4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7098-602A-43D3-9EA8-1762EC0DCA39}">
  <dimension ref="A2:BE39"/>
  <sheetViews>
    <sheetView zoomScale="85" zoomScaleNormal="85" workbookViewId="0">
      <selection sqref="A1:J39"/>
    </sheetView>
  </sheetViews>
  <sheetFormatPr defaultRowHeight="15" x14ac:dyDescent="0.25"/>
  <cols>
    <col min="1" max="2" width="16.85546875" customWidth="1"/>
    <col min="3" max="3" width="14" customWidth="1"/>
    <col min="4" max="4" width="19.85546875" style="5" customWidth="1"/>
    <col min="5" max="5" width="17" style="3" customWidth="1"/>
    <col min="6" max="6" width="13.28515625" style="3" customWidth="1"/>
    <col min="9" max="9" width="16.140625" customWidth="1"/>
    <col min="12" max="12" width="9.140625" customWidth="1"/>
    <col min="13" max="13" width="15" customWidth="1"/>
    <col min="14" max="14" width="14.28515625" customWidth="1"/>
    <col min="15" max="15" width="13.85546875" customWidth="1"/>
    <col min="16" max="16" width="14.5703125" customWidth="1"/>
    <col min="17" max="17" width="11.42578125" customWidth="1"/>
    <col min="21" max="21" width="9.140625" customWidth="1"/>
    <col min="22" max="22" width="7" customWidth="1"/>
    <col min="23" max="23" width="13.5703125" customWidth="1"/>
    <col min="24" max="24" width="12.28515625" customWidth="1"/>
    <col min="34" max="34" width="15.7109375" customWidth="1"/>
    <col min="35" max="35" width="14.42578125" customWidth="1"/>
    <col min="43" max="43" width="17" customWidth="1"/>
    <col min="44" max="44" width="13.5703125" customWidth="1"/>
    <col min="45" max="45" width="12.140625" customWidth="1"/>
    <col min="46" max="46" width="13.5703125" customWidth="1"/>
    <col min="53" max="53" width="14.28515625" customWidth="1"/>
    <col min="54" max="54" width="14" customWidth="1"/>
    <col min="55" max="55" width="11.140625" customWidth="1"/>
    <col min="56" max="56" width="12.7109375" customWidth="1"/>
  </cols>
  <sheetData>
    <row r="2" spans="1:57" x14ac:dyDescent="0.25">
      <c r="A2" s="22" t="s">
        <v>27</v>
      </c>
      <c r="B2" s="22"/>
      <c r="C2" s="22"/>
      <c r="D2" s="22"/>
      <c r="E2" s="22"/>
      <c r="F2" s="22"/>
      <c r="M2" s="22"/>
      <c r="N2" s="22"/>
      <c r="O2" s="22"/>
      <c r="P2" s="22"/>
      <c r="Q2" s="22"/>
      <c r="R2" s="22"/>
      <c r="V2" s="22"/>
      <c r="W2" s="22"/>
      <c r="X2" s="22"/>
      <c r="Y2" s="22"/>
      <c r="Z2" s="22"/>
      <c r="AA2" s="22"/>
      <c r="AG2" s="22"/>
      <c r="AH2" s="22"/>
      <c r="AI2" s="22"/>
      <c r="AJ2" s="22"/>
      <c r="AK2" s="22"/>
      <c r="AL2" s="22"/>
      <c r="AP2" s="22"/>
      <c r="AQ2" s="22"/>
      <c r="AR2" s="22"/>
      <c r="AS2" s="22"/>
      <c r="AT2" s="22"/>
      <c r="AU2" s="22"/>
      <c r="AZ2" s="22"/>
      <c r="BA2" s="22"/>
      <c r="BB2" s="22"/>
      <c r="BC2" s="22"/>
      <c r="BD2" s="22"/>
      <c r="BE2" s="22"/>
    </row>
    <row r="3" spans="1:57" x14ac:dyDescent="0.25">
      <c r="P3" s="5"/>
      <c r="Q3" s="3"/>
      <c r="R3" s="3"/>
      <c r="Y3" s="5"/>
      <c r="Z3" s="3"/>
      <c r="AA3" s="3"/>
      <c r="AJ3" s="5"/>
      <c r="AK3" s="3"/>
      <c r="AL3" s="3"/>
      <c r="AS3" s="5"/>
      <c r="AT3" s="3"/>
      <c r="AU3" s="3"/>
      <c r="BC3" s="5"/>
      <c r="BD3" s="3"/>
      <c r="BE3" s="3"/>
    </row>
    <row r="4" spans="1:57" x14ac:dyDescent="0.25">
      <c r="A4" s="21" t="s">
        <v>17</v>
      </c>
      <c r="B4" s="21"/>
      <c r="C4" s="21"/>
      <c r="D4" s="21"/>
      <c r="E4" s="21"/>
      <c r="F4" s="21"/>
      <c r="M4" s="21"/>
      <c r="N4" s="21"/>
      <c r="O4" s="21"/>
      <c r="P4" s="21"/>
      <c r="Q4" s="21"/>
      <c r="R4" s="21"/>
      <c r="V4" s="23"/>
      <c r="W4" s="23"/>
      <c r="X4" s="23"/>
      <c r="Y4" s="23"/>
      <c r="Z4" s="23"/>
      <c r="AA4" s="23"/>
      <c r="AG4" s="21"/>
      <c r="AH4" s="21"/>
      <c r="AI4" s="21"/>
      <c r="AJ4" s="21"/>
      <c r="AK4" s="21"/>
      <c r="AL4" s="21"/>
      <c r="AP4" s="21"/>
      <c r="AQ4" s="21"/>
      <c r="AR4" s="21"/>
      <c r="AS4" s="21"/>
      <c r="AT4" s="21"/>
      <c r="AU4" s="21"/>
      <c r="AZ4" s="21"/>
      <c r="BA4" s="21"/>
      <c r="BB4" s="21"/>
      <c r="BC4" s="21"/>
      <c r="BD4" s="21"/>
      <c r="BE4" s="21"/>
    </row>
    <row r="5" spans="1:57" x14ac:dyDescent="0.25">
      <c r="P5" s="5"/>
      <c r="Q5" s="3"/>
      <c r="R5" s="3"/>
      <c r="Y5" s="5"/>
      <c r="Z5" s="3"/>
      <c r="AA5" s="3"/>
      <c r="AG5" s="6"/>
      <c r="AH5" s="6"/>
      <c r="AI5" s="6"/>
      <c r="AJ5" s="7"/>
      <c r="AK5" s="8"/>
      <c r="AL5" s="8"/>
      <c r="AS5" s="5"/>
      <c r="AT5" s="3"/>
      <c r="AU5" s="3"/>
      <c r="BC5" s="5"/>
      <c r="BD5" s="3"/>
      <c r="BE5" s="3"/>
    </row>
    <row r="6" spans="1:57" x14ac:dyDescent="0.25">
      <c r="B6" t="s">
        <v>0</v>
      </c>
      <c r="C6" t="s">
        <v>1</v>
      </c>
      <c r="D6" s="5" t="s">
        <v>2</v>
      </c>
      <c r="E6" s="3" t="s">
        <v>3</v>
      </c>
      <c r="F6" s="3" t="s">
        <v>4</v>
      </c>
      <c r="G6" t="s">
        <v>14</v>
      </c>
      <c r="I6" t="s">
        <v>19</v>
      </c>
      <c r="P6" s="5"/>
      <c r="Q6" s="3"/>
      <c r="R6" s="3"/>
      <c r="Y6" s="5"/>
      <c r="Z6" s="3"/>
      <c r="AA6" s="3"/>
      <c r="AJ6" s="5"/>
      <c r="AK6" s="3"/>
      <c r="AL6" s="3"/>
      <c r="AS6" s="5"/>
      <c r="AT6" s="3"/>
      <c r="AU6" s="3"/>
      <c r="BC6" s="5"/>
      <c r="BD6" s="3"/>
      <c r="BE6" s="3"/>
    </row>
    <row r="7" spans="1:57" x14ac:dyDescent="0.25">
      <c r="B7" s="4">
        <v>45992</v>
      </c>
      <c r="C7" t="s">
        <v>9</v>
      </c>
      <c r="G7">
        <f>(D7*8+E7)*56.25</f>
        <v>0</v>
      </c>
      <c r="N7" s="4"/>
      <c r="P7" s="5"/>
      <c r="Q7" s="3"/>
      <c r="R7" s="3"/>
      <c r="W7" s="4"/>
      <c r="Y7" s="5"/>
      <c r="Z7" s="3"/>
      <c r="AA7" s="3"/>
      <c r="AH7" s="4"/>
      <c r="AJ7" s="5"/>
      <c r="AK7" s="3"/>
      <c r="AL7" s="3"/>
      <c r="AQ7" s="4"/>
      <c r="AS7" s="5"/>
      <c r="AT7" s="3"/>
      <c r="AU7" s="3"/>
      <c r="BA7" s="4"/>
      <c r="BC7" s="5"/>
      <c r="BD7" s="3"/>
      <c r="BE7" s="3"/>
    </row>
    <row r="8" spans="1:57" x14ac:dyDescent="0.25">
      <c r="B8" s="4">
        <v>45993</v>
      </c>
      <c r="C8" t="s">
        <v>10</v>
      </c>
      <c r="E8" s="13"/>
      <c r="F8" s="13"/>
      <c r="G8">
        <f t="shared" ref="G8:G37" si="0">(D8*8+E8)*56.25</f>
        <v>0</v>
      </c>
      <c r="N8" s="4"/>
      <c r="P8" s="5"/>
      <c r="Q8" s="3"/>
      <c r="R8" s="3"/>
      <c r="W8" s="4"/>
      <c r="Y8" s="5"/>
      <c r="Z8" s="3"/>
      <c r="AA8" s="3"/>
      <c r="AH8" s="4"/>
      <c r="AJ8" s="5"/>
      <c r="AK8" s="3"/>
      <c r="AL8" s="3"/>
      <c r="AQ8" s="4"/>
      <c r="AS8" s="5"/>
      <c r="AT8" s="3"/>
      <c r="AU8" s="3"/>
      <c r="BA8" s="4"/>
      <c r="BC8" s="5"/>
      <c r="BD8" s="3"/>
      <c r="BE8" s="3"/>
    </row>
    <row r="9" spans="1:57" x14ac:dyDescent="0.25">
      <c r="B9" s="4">
        <v>45994</v>
      </c>
      <c r="C9" t="s">
        <v>11</v>
      </c>
      <c r="E9" s="15"/>
      <c r="F9" s="15"/>
      <c r="G9">
        <f t="shared" si="0"/>
        <v>0</v>
      </c>
      <c r="N9" s="4"/>
      <c r="P9" s="5"/>
      <c r="Q9" s="3"/>
      <c r="R9" s="3"/>
      <c r="W9" s="4"/>
      <c r="Y9" s="5"/>
      <c r="Z9" s="3"/>
      <c r="AA9" s="3"/>
      <c r="AH9" s="4"/>
      <c r="AJ9" s="5"/>
      <c r="AK9" s="3"/>
      <c r="AL9" s="3"/>
      <c r="AQ9" s="4"/>
      <c r="AS9" s="5"/>
      <c r="AT9" s="3"/>
      <c r="AU9" s="3"/>
      <c r="BA9" s="4"/>
      <c r="BC9" s="5"/>
      <c r="BD9" s="3"/>
      <c r="BE9" s="3"/>
    </row>
    <row r="10" spans="1:57" x14ac:dyDescent="0.25">
      <c r="B10" s="4">
        <v>45995</v>
      </c>
      <c r="C10" t="s">
        <v>12</v>
      </c>
      <c r="E10" s="15"/>
      <c r="F10" s="15"/>
      <c r="G10">
        <f t="shared" si="0"/>
        <v>0</v>
      </c>
      <c r="N10" s="4"/>
      <c r="P10" s="5"/>
      <c r="Q10" s="3"/>
      <c r="R10" s="3"/>
      <c r="W10" s="4"/>
      <c r="Y10" s="5"/>
      <c r="Z10" s="3"/>
      <c r="AA10" s="3"/>
      <c r="AH10" s="4"/>
      <c r="AJ10" s="5"/>
      <c r="AK10" s="3"/>
      <c r="AL10" s="3"/>
      <c r="AQ10" s="4"/>
      <c r="AS10" s="5"/>
      <c r="AT10" s="3"/>
      <c r="AU10" s="3"/>
      <c r="BA10" s="4"/>
      <c r="BC10" s="5"/>
      <c r="BD10" s="3"/>
      <c r="BE10" s="3"/>
    </row>
    <row r="11" spans="1:57" x14ac:dyDescent="0.25">
      <c r="B11" s="4">
        <v>45996</v>
      </c>
      <c r="C11" t="s">
        <v>6</v>
      </c>
      <c r="E11" s="15"/>
      <c r="F11" s="15"/>
      <c r="G11">
        <f t="shared" si="0"/>
        <v>0</v>
      </c>
      <c r="N11" s="4"/>
      <c r="P11" s="5"/>
      <c r="Q11" s="3"/>
      <c r="R11" s="3"/>
      <c r="W11" s="4"/>
      <c r="Y11" s="5"/>
      <c r="Z11" s="3"/>
      <c r="AA11" s="3"/>
      <c r="AH11" s="4"/>
      <c r="AJ11" s="5"/>
      <c r="AK11" s="3"/>
      <c r="AL11" s="3"/>
      <c r="AQ11" s="4"/>
      <c r="AS11" s="5"/>
      <c r="AT11" s="3"/>
      <c r="AU11" s="3"/>
      <c r="BA11" s="4"/>
      <c r="BC11" s="5"/>
      <c r="BD11" s="3"/>
      <c r="BE11" s="3"/>
    </row>
    <row r="12" spans="1:57" x14ac:dyDescent="0.25">
      <c r="B12" s="4">
        <v>45997</v>
      </c>
      <c r="C12" t="s">
        <v>7</v>
      </c>
      <c r="E12" s="15"/>
      <c r="F12" s="15"/>
      <c r="G12">
        <f t="shared" si="0"/>
        <v>0</v>
      </c>
      <c r="N12" s="4"/>
      <c r="P12" s="5"/>
      <c r="Q12" s="3"/>
      <c r="R12" s="3"/>
      <c r="W12" s="4"/>
      <c r="Y12" s="5"/>
      <c r="Z12" s="3"/>
      <c r="AA12" s="3"/>
      <c r="AH12" s="4"/>
      <c r="AJ12" s="5"/>
      <c r="AK12" s="3"/>
      <c r="AL12" s="3"/>
      <c r="AQ12" s="4"/>
      <c r="AS12" s="5"/>
      <c r="AT12" s="3"/>
      <c r="AU12" s="3"/>
      <c r="BA12" s="4"/>
      <c r="BC12" s="5"/>
      <c r="BD12" s="3"/>
      <c r="BE12" s="3"/>
    </row>
    <row r="13" spans="1:57" x14ac:dyDescent="0.25">
      <c r="B13" s="4">
        <v>45998</v>
      </c>
      <c r="C13" t="s">
        <v>8</v>
      </c>
      <c r="E13" s="15"/>
      <c r="F13" s="15"/>
      <c r="G13">
        <f t="shared" si="0"/>
        <v>0</v>
      </c>
      <c r="N13" s="4"/>
      <c r="P13" s="5"/>
      <c r="Q13" s="3"/>
      <c r="R13" s="3"/>
      <c r="W13" s="4"/>
      <c r="Y13" s="5"/>
      <c r="Z13" s="3"/>
      <c r="AA13" s="3"/>
      <c r="AH13" s="4"/>
      <c r="AJ13" s="5"/>
      <c r="AK13" s="3"/>
      <c r="AL13" s="3"/>
      <c r="AQ13" s="4"/>
      <c r="AS13" s="5"/>
      <c r="AT13" s="3"/>
      <c r="AU13" s="3"/>
      <c r="BA13" s="4"/>
      <c r="BC13" s="5"/>
      <c r="BD13" s="3"/>
      <c r="BE13" s="3"/>
    </row>
    <row r="14" spans="1:57" x14ac:dyDescent="0.25">
      <c r="B14" s="4">
        <v>45999</v>
      </c>
      <c r="C14" t="s">
        <v>9</v>
      </c>
      <c r="E14" s="15"/>
      <c r="F14" s="15"/>
      <c r="G14">
        <f t="shared" si="0"/>
        <v>0</v>
      </c>
      <c r="N14" s="4"/>
      <c r="P14" s="5"/>
      <c r="Q14" s="3"/>
      <c r="R14" s="3"/>
      <c r="W14" s="4"/>
      <c r="Y14" s="5"/>
      <c r="Z14" s="3"/>
      <c r="AA14" s="3"/>
      <c r="AH14" s="4"/>
      <c r="AJ14" s="5"/>
      <c r="AK14" s="3"/>
      <c r="AL14" s="3"/>
      <c r="AQ14" s="4"/>
      <c r="AS14" s="5"/>
      <c r="AT14" s="3"/>
      <c r="AU14" s="3"/>
      <c r="BA14" s="4"/>
      <c r="BC14" s="5"/>
      <c r="BD14" s="3"/>
      <c r="BE14" s="3"/>
    </row>
    <row r="15" spans="1:57" x14ac:dyDescent="0.25">
      <c r="B15" s="4">
        <v>46000</v>
      </c>
      <c r="C15" t="s">
        <v>10</v>
      </c>
      <c r="E15" s="15"/>
      <c r="F15" s="15"/>
      <c r="G15">
        <f t="shared" si="0"/>
        <v>0</v>
      </c>
      <c r="N15" s="4"/>
      <c r="P15" s="5"/>
      <c r="Q15" s="3"/>
      <c r="R15" s="3"/>
      <c r="W15" s="4"/>
      <c r="Y15" s="5"/>
      <c r="Z15" s="3"/>
      <c r="AA15" s="3"/>
      <c r="AH15" s="4"/>
      <c r="AJ15" s="5"/>
      <c r="AK15" s="3"/>
      <c r="AL15" s="3"/>
      <c r="AQ15" s="4"/>
      <c r="AS15" s="5"/>
      <c r="AT15" s="3"/>
      <c r="AU15" s="3"/>
      <c r="BA15" s="4"/>
      <c r="BC15" s="5"/>
      <c r="BD15" s="3"/>
      <c r="BE15" s="3"/>
    </row>
    <row r="16" spans="1:57" x14ac:dyDescent="0.25">
      <c r="B16" s="4">
        <v>46001</v>
      </c>
      <c r="C16" t="s">
        <v>11</v>
      </c>
      <c r="D16" s="5">
        <v>0</v>
      </c>
      <c r="E16" s="15"/>
      <c r="F16" s="15"/>
      <c r="G16">
        <f t="shared" si="0"/>
        <v>0</v>
      </c>
      <c r="N16" s="4"/>
      <c r="P16" s="5"/>
      <c r="Q16" s="3"/>
      <c r="R16" s="3"/>
      <c r="W16" s="4"/>
      <c r="Y16" s="5"/>
      <c r="Z16" s="3"/>
      <c r="AA16" s="3"/>
      <c r="AH16" s="4"/>
      <c r="AJ16" s="5"/>
      <c r="AK16" s="3"/>
      <c r="AL16" s="3"/>
      <c r="AQ16" s="4"/>
      <c r="AS16" s="5"/>
      <c r="AT16" s="3"/>
      <c r="AU16" s="3"/>
      <c r="BA16" s="4"/>
      <c r="BC16" s="5"/>
      <c r="BD16" s="3"/>
      <c r="BE16" s="3"/>
    </row>
    <row r="17" spans="2:57" x14ac:dyDescent="0.25">
      <c r="B17" s="4">
        <v>46002</v>
      </c>
      <c r="C17" t="s">
        <v>12</v>
      </c>
      <c r="D17" s="5">
        <v>1</v>
      </c>
      <c r="E17" s="15">
        <v>5</v>
      </c>
      <c r="F17" s="15"/>
      <c r="G17">
        <f t="shared" si="0"/>
        <v>731.25</v>
      </c>
      <c r="N17" s="4"/>
      <c r="P17" s="5"/>
      <c r="Q17" s="3"/>
      <c r="R17" s="3"/>
      <c r="W17" s="4"/>
      <c r="Y17" s="5"/>
      <c r="Z17" s="3"/>
      <c r="AA17" s="3"/>
      <c r="AH17" s="4"/>
      <c r="AJ17" s="5"/>
      <c r="AK17" s="3"/>
      <c r="AL17" s="3"/>
      <c r="AQ17" s="4"/>
      <c r="AS17" s="5"/>
      <c r="AT17" s="3"/>
      <c r="AU17" s="3"/>
      <c r="BA17" s="4"/>
      <c r="BC17" s="5"/>
      <c r="BD17" s="3"/>
      <c r="BE17" s="3"/>
    </row>
    <row r="18" spans="2:57" x14ac:dyDescent="0.25">
      <c r="B18" s="4">
        <v>46003</v>
      </c>
      <c r="C18" t="s">
        <v>6</v>
      </c>
      <c r="D18" s="5">
        <v>1</v>
      </c>
      <c r="E18" s="15">
        <v>6</v>
      </c>
      <c r="F18" s="15">
        <v>100</v>
      </c>
      <c r="G18">
        <f t="shared" si="0"/>
        <v>787.5</v>
      </c>
      <c r="N18" s="4"/>
      <c r="P18" s="5"/>
      <c r="Q18" s="3"/>
      <c r="R18" s="3"/>
      <c r="W18" s="4"/>
      <c r="Y18" s="5"/>
      <c r="Z18" s="3"/>
      <c r="AA18" s="3"/>
      <c r="AH18" s="4"/>
      <c r="AJ18" s="5"/>
      <c r="AK18" s="3"/>
      <c r="AL18" s="3"/>
      <c r="AQ18" s="4"/>
      <c r="AS18" s="5"/>
      <c r="AT18" s="3"/>
      <c r="AU18" s="3"/>
      <c r="BA18" s="4"/>
      <c r="BC18" s="5"/>
      <c r="BD18" s="3"/>
      <c r="BE18" s="3"/>
    </row>
    <row r="19" spans="2:57" x14ac:dyDescent="0.25">
      <c r="B19" s="4">
        <v>46004</v>
      </c>
      <c r="C19" t="s">
        <v>7</v>
      </c>
      <c r="E19" s="15"/>
      <c r="F19" s="15"/>
      <c r="G19">
        <f t="shared" si="0"/>
        <v>0</v>
      </c>
      <c r="N19" s="4"/>
      <c r="P19" s="5"/>
      <c r="Q19" s="3"/>
      <c r="R19" s="3"/>
      <c r="W19" s="4"/>
      <c r="Y19" s="5"/>
      <c r="Z19" s="3"/>
      <c r="AA19" s="3"/>
      <c r="AH19" s="4"/>
      <c r="AJ19" s="5"/>
      <c r="AK19" s="3"/>
      <c r="AL19" s="3"/>
      <c r="AQ19" s="4"/>
      <c r="AS19" s="5"/>
      <c r="AT19" s="3"/>
      <c r="AU19" s="3"/>
      <c r="BA19" s="4"/>
      <c r="BC19" s="5"/>
      <c r="BD19" s="3"/>
      <c r="BE19" s="3"/>
    </row>
    <row r="20" spans="2:57" x14ac:dyDescent="0.25">
      <c r="B20" s="4">
        <v>46005</v>
      </c>
      <c r="C20" t="s">
        <v>8</v>
      </c>
      <c r="E20" s="15"/>
      <c r="F20" s="15"/>
      <c r="G20">
        <f t="shared" si="0"/>
        <v>0</v>
      </c>
      <c r="N20" s="4"/>
      <c r="P20" s="5"/>
      <c r="Q20" s="3"/>
      <c r="R20" s="3"/>
      <c r="W20" s="4"/>
      <c r="Y20" s="5"/>
      <c r="Z20" s="3"/>
      <c r="AA20" s="3"/>
      <c r="AH20" s="4"/>
      <c r="AJ20" s="5"/>
      <c r="AK20" s="3"/>
      <c r="AL20" s="3"/>
      <c r="AQ20" s="4"/>
      <c r="AS20" s="5"/>
      <c r="AT20" s="3"/>
      <c r="AU20" s="3"/>
      <c r="BA20" s="4"/>
      <c r="BC20" s="5"/>
      <c r="BD20" s="3"/>
      <c r="BE20" s="3"/>
    </row>
    <row r="21" spans="2:57" x14ac:dyDescent="0.25">
      <c r="B21" s="4">
        <v>46006</v>
      </c>
      <c r="C21" t="s">
        <v>9</v>
      </c>
      <c r="E21" s="15"/>
      <c r="F21" s="15"/>
      <c r="G21">
        <f t="shared" si="0"/>
        <v>0</v>
      </c>
      <c r="N21" s="4"/>
      <c r="P21" s="5"/>
      <c r="Q21" s="3"/>
      <c r="R21" s="3"/>
      <c r="W21" s="4"/>
      <c r="Y21" s="5"/>
      <c r="Z21" s="3"/>
      <c r="AA21" s="3"/>
      <c r="AH21" s="4"/>
      <c r="AJ21" s="5"/>
      <c r="AK21" s="3"/>
      <c r="AL21" s="3"/>
      <c r="AQ21" s="4"/>
      <c r="AS21" s="5"/>
      <c r="AT21" s="3"/>
      <c r="AU21" s="3"/>
      <c r="BA21" s="4"/>
      <c r="BC21" s="5"/>
      <c r="BD21" s="3"/>
      <c r="BE21" s="3"/>
    </row>
    <row r="22" spans="2:57" x14ac:dyDescent="0.25">
      <c r="B22" s="4">
        <v>46007</v>
      </c>
      <c r="C22" t="s">
        <v>10</v>
      </c>
      <c r="E22" s="15"/>
      <c r="F22" s="15"/>
      <c r="G22">
        <f t="shared" si="0"/>
        <v>0</v>
      </c>
      <c r="N22" s="4"/>
      <c r="P22" s="5"/>
      <c r="Q22" s="3"/>
      <c r="R22" s="3"/>
      <c r="W22" s="4"/>
      <c r="Y22" s="5"/>
      <c r="Z22" s="3"/>
      <c r="AA22" s="3"/>
      <c r="AH22" s="4"/>
      <c r="AJ22" s="5"/>
      <c r="AK22" s="3"/>
      <c r="AL22" s="3"/>
      <c r="AQ22" s="4"/>
      <c r="AS22" s="5"/>
      <c r="AT22" s="3"/>
      <c r="AU22" s="3"/>
      <c r="BA22" s="4"/>
      <c r="BC22" s="5"/>
      <c r="BD22" s="3"/>
      <c r="BE22" s="3"/>
    </row>
    <row r="23" spans="2:57" x14ac:dyDescent="0.25">
      <c r="B23" s="4">
        <v>46008</v>
      </c>
      <c r="C23" t="s">
        <v>11</v>
      </c>
      <c r="E23" s="15"/>
      <c r="F23" s="15"/>
      <c r="G23">
        <f t="shared" si="0"/>
        <v>0</v>
      </c>
      <c r="N23" s="4"/>
      <c r="P23" s="5"/>
      <c r="Q23" s="3"/>
      <c r="R23" s="3"/>
      <c r="W23" s="4"/>
      <c r="Y23" s="5"/>
      <c r="Z23" s="3"/>
      <c r="AA23" s="3"/>
      <c r="AH23" s="4"/>
      <c r="AJ23" s="5"/>
      <c r="AK23" s="3"/>
      <c r="AL23" s="3"/>
      <c r="AQ23" s="4"/>
      <c r="AS23" s="5"/>
      <c r="AT23" s="3"/>
      <c r="AU23" s="3"/>
      <c r="BA23" s="4"/>
      <c r="BC23" s="5"/>
      <c r="BD23" s="3"/>
      <c r="BE23" s="3"/>
    </row>
    <row r="24" spans="2:57" x14ac:dyDescent="0.25">
      <c r="B24" s="4">
        <v>46009</v>
      </c>
      <c r="C24" t="s">
        <v>12</v>
      </c>
      <c r="E24" s="15"/>
      <c r="F24" s="15"/>
      <c r="G24">
        <f t="shared" si="0"/>
        <v>0</v>
      </c>
      <c r="N24" s="4"/>
      <c r="P24" s="5"/>
      <c r="Q24" s="3"/>
      <c r="R24" s="3"/>
      <c r="W24" s="4"/>
      <c r="Y24" s="5"/>
      <c r="Z24" s="3"/>
      <c r="AA24" s="3"/>
      <c r="AH24" s="4"/>
      <c r="AJ24" s="5"/>
      <c r="AK24" s="3"/>
      <c r="AL24" s="3"/>
      <c r="AQ24" s="4"/>
      <c r="AS24" s="5"/>
      <c r="AT24" s="3"/>
      <c r="AU24" s="3"/>
      <c r="BA24" s="4"/>
      <c r="BC24" s="5"/>
      <c r="BD24" s="3"/>
      <c r="BE24" s="3"/>
    </row>
    <row r="25" spans="2:57" x14ac:dyDescent="0.25">
      <c r="B25" s="4">
        <v>46010</v>
      </c>
      <c r="C25" t="s">
        <v>6</v>
      </c>
      <c r="E25" s="15"/>
      <c r="F25" s="15"/>
      <c r="G25">
        <f t="shared" si="0"/>
        <v>0</v>
      </c>
      <c r="N25" s="4"/>
      <c r="P25" s="5"/>
      <c r="Q25" s="3"/>
      <c r="R25" s="3"/>
      <c r="W25" s="4"/>
      <c r="Y25" s="5"/>
      <c r="Z25" s="3"/>
      <c r="AA25" s="3"/>
      <c r="AH25" s="4"/>
      <c r="AJ25" s="5"/>
      <c r="AK25" s="3"/>
      <c r="AL25" s="3"/>
      <c r="AQ25" s="4"/>
      <c r="AS25" s="5"/>
      <c r="AT25" s="3"/>
      <c r="AU25" s="3"/>
      <c r="BA25" s="4"/>
      <c r="BC25" s="5"/>
      <c r="BD25" s="3"/>
      <c r="BE25" s="3"/>
    </row>
    <row r="26" spans="2:57" x14ac:dyDescent="0.25">
      <c r="B26" s="4">
        <v>46011</v>
      </c>
      <c r="C26" t="s">
        <v>7</v>
      </c>
      <c r="E26" s="15"/>
      <c r="F26" s="15"/>
      <c r="G26">
        <f t="shared" si="0"/>
        <v>0</v>
      </c>
      <c r="N26" s="4"/>
      <c r="P26" s="5"/>
      <c r="Q26" s="3"/>
      <c r="R26" s="3"/>
      <c r="W26" s="4"/>
      <c r="Y26" s="5"/>
      <c r="Z26" s="3"/>
      <c r="AA26" s="3"/>
      <c r="AH26" s="4"/>
      <c r="AJ26" s="5"/>
      <c r="AK26" s="3"/>
      <c r="AL26" s="3"/>
      <c r="AQ26" s="4"/>
      <c r="AS26" s="5"/>
      <c r="AT26" s="3"/>
      <c r="AU26" s="3"/>
      <c r="BA26" s="4"/>
      <c r="BC26" s="5"/>
      <c r="BD26" s="3"/>
      <c r="BE26" s="3"/>
    </row>
    <row r="27" spans="2:57" x14ac:dyDescent="0.25">
      <c r="B27" s="4">
        <v>46012</v>
      </c>
      <c r="C27" t="s">
        <v>8</v>
      </c>
      <c r="E27" s="15"/>
      <c r="F27" s="15"/>
      <c r="G27">
        <f t="shared" si="0"/>
        <v>0</v>
      </c>
      <c r="N27" s="4"/>
      <c r="P27" s="5"/>
      <c r="Q27" s="3"/>
      <c r="R27" s="3"/>
      <c r="W27" s="4"/>
      <c r="Y27" s="5"/>
      <c r="Z27" s="3"/>
      <c r="AA27" s="3"/>
      <c r="AH27" s="4"/>
      <c r="AJ27" s="5"/>
      <c r="AK27" s="3"/>
      <c r="AL27" s="3"/>
      <c r="AQ27" s="4"/>
      <c r="AS27" s="5"/>
      <c r="AT27" s="3"/>
      <c r="AU27" s="3"/>
      <c r="BA27" s="4"/>
      <c r="BC27" s="5"/>
      <c r="BD27" s="3"/>
      <c r="BE27" s="3"/>
    </row>
    <row r="28" spans="2:57" x14ac:dyDescent="0.25">
      <c r="B28" s="4">
        <v>46013</v>
      </c>
      <c r="C28" t="s">
        <v>9</v>
      </c>
      <c r="E28" s="15"/>
      <c r="F28" s="15"/>
      <c r="G28">
        <f t="shared" si="0"/>
        <v>0</v>
      </c>
      <c r="N28" s="4"/>
      <c r="P28" s="5"/>
      <c r="Q28" s="3"/>
      <c r="R28" s="3"/>
      <c r="W28" s="4"/>
      <c r="Y28" s="5"/>
      <c r="Z28" s="3"/>
      <c r="AA28" s="3"/>
      <c r="AH28" s="4"/>
      <c r="AJ28" s="5"/>
      <c r="AK28" s="3"/>
      <c r="AL28" s="3"/>
      <c r="AQ28" s="4"/>
      <c r="AS28" s="5"/>
      <c r="AT28" s="3"/>
      <c r="AU28" s="3"/>
      <c r="BA28" s="4"/>
      <c r="BC28" s="5"/>
      <c r="BD28" s="3"/>
      <c r="BE28" s="3"/>
    </row>
    <row r="29" spans="2:57" x14ac:dyDescent="0.25">
      <c r="B29" s="4">
        <v>46014</v>
      </c>
      <c r="C29" t="s">
        <v>10</v>
      </c>
      <c r="E29" s="15"/>
      <c r="F29" s="15"/>
      <c r="G29">
        <f t="shared" si="0"/>
        <v>0</v>
      </c>
      <c r="N29" s="4"/>
      <c r="P29" s="5"/>
      <c r="Q29" s="3"/>
      <c r="R29" s="3"/>
      <c r="W29" s="4"/>
      <c r="Y29" s="5"/>
      <c r="Z29" s="3"/>
      <c r="AA29" s="3"/>
      <c r="AH29" s="4"/>
      <c r="AJ29" s="5"/>
      <c r="AK29" s="3"/>
      <c r="AL29" s="3"/>
      <c r="AQ29" s="4"/>
      <c r="AS29" s="5"/>
      <c r="AT29" s="3"/>
      <c r="AU29" s="3"/>
      <c r="BA29" s="4"/>
      <c r="BC29" s="5"/>
      <c r="BD29" s="3"/>
      <c r="BE29" s="3"/>
    </row>
    <row r="30" spans="2:57" x14ac:dyDescent="0.25">
      <c r="B30" s="4">
        <v>46015</v>
      </c>
      <c r="C30" t="s">
        <v>11</v>
      </c>
      <c r="E30" s="15"/>
      <c r="F30" s="15"/>
      <c r="G30">
        <f t="shared" si="0"/>
        <v>0</v>
      </c>
      <c r="N30" s="4"/>
      <c r="P30" s="5"/>
      <c r="Q30" s="3"/>
      <c r="R30" s="3"/>
      <c r="W30" s="4"/>
      <c r="Y30" s="5"/>
      <c r="Z30" s="3"/>
      <c r="AA30" s="3"/>
      <c r="AH30" s="4"/>
      <c r="AJ30" s="5"/>
      <c r="AK30" s="3"/>
      <c r="AL30" s="3"/>
      <c r="AQ30" s="4"/>
      <c r="AS30" s="5"/>
      <c r="AT30" s="3"/>
      <c r="AU30" s="3"/>
      <c r="BA30" s="4"/>
      <c r="BC30" s="5"/>
      <c r="BD30" s="3"/>
      <c r="BE30" s="3"/>
    </row>
    <row r="31" spans="2:57" x14ac:dyDescent="0.25">
      <c r="B31" s="4">
        <v>46016</v>
      </c>
      <c r="C31" t="s">
        <v>12</v>
      </c>
      <c r="E31" s="15"/>
      <c r="F31" s="15"/>
      <c r="G31">
        <f t="shared" si="0"/>
        <v>0</v>
      </c>
      <c r="N31" s="4"/>
      <c r="P31" s="5"/>
      <c r="Q31" s="3"/>
      <c r="R31" s="3"/>
      <c r="W31" s="4"/>
      <c r="Y31" s="5"/>
      <c r="Z31" s="3"/>
      <c r="AA31" s="3"/>
      <c r="AH31" s="4"/>
      <c r="AJ31" s="5"/>
      <c r="AK31" s="3"/>
      <c r="AL31" s="3"/>
      <c r="AQ31" s="4"/>
      <c r="AS31" s="5"/>
      <c r="AT31" s="3"/>
      <c r="AU31" s="3"/>
      <c r="BA31" s="4"/>
      <c r="BC31" s="5"/>
      <c r="BD31" s="3"/>
      <c r="BE31" s="3"/>
    </row>
    <row r="32" spans="2:57" x14ac:dyDescent="0.25">
      <c r="B32" s="4">
        <v>46017</v>
      </c>
      <c r="C32" t="s">
        <v>6</v>
      </c>
      <c r="E32" s="15"/>
      <c r="F32" s="15"/>
      <c r="G32">
        <f t="shared" si="0"/>
        <v>0</v>
      </c>
      <c r="N32" s="4"/>
      <c r="P32" s="5"/>
      <c r="Q32" s="3"/>
      <c r="R32" s="3"/>
      <c r="W32" s="4"/>
      <c r="Y32" s="5"/>
      <c r="Z32" s="3"/>
      <c r="AA32" s="3"/>
      <c r="AH32" s="4"/>
      <c r="AJ32" s="5"/>
      <c r="AK32" s="3"/>
      <c r="AL32" s="3"/>
      <c r="AQ32" s="4"/>
      <c r="AS32" s="5"/>
      <c r="AT32" s="3"/>
      <c r="AU32" s="3"/>
      <c r="BA32" s="4"/>
      <c r="BC32" s="5"/>
      <c r="BD32" s="3"/>
      <c r="BE32" s="3"/>
    </row>
    <row r="33" spans="2:57" x14ac:dyDescent="0.25">
      <c r="B33" s="4">
        <v>46018</v>
      </c>
      <c r="C33" t="s">
        <v>7</v>
      </c>
      <c r="E33" s="15"/>
      <c r="F33" s="15"/>
      <c r="G33">
        <f t="shared" si="0"/>
        <v>0</v>
      </c>
      <c r="N33" s="4"/>
      <c r="P33" s="5"/>
      <c r="Q33" s="3"/>
      <c r="R33" s="3"/>
      <c r="W33" s="4"/>
      <c r="Y33" s="5"/>
      <c r="Z33" s="3"/>
      <c r="AA33" s="3"/>
      <c r="AH33" s="4"/>
      <c r="AJ33" s="5"/>
      <c r="AK33" s="3"/>
      <c r="AL33" s="3"/>
      <c r="AQ33" s="4"/>
      <c r="AS33" s="5"/>
      <c r="AT33" s="3"/>
      <c r="AU33" s="3"/>
      <c r="BA33" s="4"/>
      <c r="BC33" s="5"/>
      <c r="BD33" s="3"/>
      <c r="BE33" s="3"/>
    </row>
    <row r="34" spans="2:57" x14ac:dyDescent="0.25">
      <c r="B34" s="4">
        <v>46019</v>
      </c>
      <c r="C34" t="s">
        <v>8</v>
      </c>
      <c r="E34" s="15"/>
      <c r="F34" s="15"/>
      <c r="G34">
        <f t="shared" si="0"/>
        <v>0</v>
      </c>
      <c r="N34" s="4"/>
      <c r="P34" s="5"/>
      <c r="Q34" s="3"/>
      <c r="R34" s="3"/>
      <c r="W34" s="4"/>
      <c r="Y34" s="5"/>
      <c r="Z34" s="3"/>
      <c r="AA34" s="3"/>
      <c r="AH34" s="4"/>
      <c r="AJ34" s="5"/>
      <c r="AK34" s="3"/>
      <c r="AL34" s="3"/>
      <c r="AQ34" s="4"/>
      <c r="AS34" s="5"/>
      <c r="AT34" s="3"/>
      <c r="AU34" s="3"/>
      <c r="BA34" s="4"/>
      <c r="BC34" s="5"/>
      <c r="BD34" s="3"/>
      <c r="BE34" s="3"/>
    </row>
    <row r="35" spans="2:57" x14ac:dyDescent="0.25">
      <c r="B35" s="4">
        <v>46020</v>
      </c>
      <c r="C35" t="s">
        <v>9</v>
      </c>
      <c r="E35" s="15"/>
      <c r="F35" s="15"/>
      <c r="G35">
        <f t="shared" si="0"/>
        <v>0</v>
      </c>
      <c r="N35" s="4"/>
      <c r="P35" s="5"/>
      <c r="Q35" s="3"/>
      <c r="R35" s="3"/>
      <c r="W35" s="4"/>
      <c r="Y35" s="5"/>
      <c r="Z35" s="3"/>
      <c r="AA35" s="3"/>
      <c r="AH35" s="4"/>
      <c r="AJ35" s="5"/>
      <c r="AK35" s="3"/>
      <c r="AL35" s="3"/>
      <c r="AQ35" s="4"/>
      <c r="AS35" s="5"/>
      <c r="AT35" s="3"/>
      <c r="AU35" s="3"/>
      <c r="BA35" s="4"/>
      <c r="BC35" s="5"/>
      <c r="BD35" s="3"/>
      <c r="BE35" s="3"/>
    </row>
    <row r="36" spans="2:57" x14ac:dyDescent="0.25">
      <c r="B36" s="4">
        <v>46021</v>
      </c>
      <c r="C36" t="s">
        <v>10</v>
      </c>
      <c r="E36" s="15"/>
      <c r="F36" s="15"/>
      <c r="G36">
        <f t="shared" si="0"/>
        <v>0</v>
      </c>
      <c r="N36" s="4"/>
      <c r="P36" s="5"/>
      <c r="Q36" s="3"/>
      <c r="R36" s="3"/>
      <c r="W36" s="4"/>
      <c r="Y36" s="5"/>
      <c r="Z36" s="3"/>
      <c r="AA36" s="3"/>
      <c r="AH36" s="4"/>
      <c r="AJ36" s="5"/>
      <c r="AK36" s="3"/>
      <c r="AL36" s="3"/>
      <c r="AQ36" s="4"/>
      <c r="AS36" s="5"/>
      <c r="AT36" s="3"/>
      <c r="AU36" s="3"/>
      <c r="BA36" s="4"/>
      <c r="BC36" s="5"/>
      <c r="BD36" s="3"/>
      <c r="BE36" s="3"/>
    </row>
    <row r="37" spans="2:57" x14ac:dyDescent="0.25">
      <c r="B37" s="4">
        <v>46022</v>
      </c>
      <c r="C37" t="s">
        <v>11</v>
      </c>
      <c r="E37" s="15"/>
      <c r="F37" s="15"/>
      <c r="G37">
        <f t="shared" si="0"/>
        <v>0</v>
      </c>
      <c r="N37" s="4"/>
      <c r="P37" s="5"/>
      <c r="Q37" s="13"/>
      <c r="R37" s="13"/>
      <c r="W37" s="4"/>
      <c r="Y37" s="5"/>
      <c r="Z37" s="13"/>
      <c r="AA37" s="13"/>
      <c r="AH37" s="4"/>
      <c r="AJ37" s="5"/>
      <c r="AK37" s="13"/>
      <c r="AL37" s="13"/>
      <c r="AQ37" s="4"/>
      <c r="AS37" s="5"/>
      <c r="AT37" s="13"/>
      <c r="AU37" s="13"/>
      <c r="BA37" s="4"/>
      <c r="BC37" s="5"/>
      <c r="BD37" s="13"/>
      <c r="BE37" s="13"/>
    </row>
    <row r="38" spans="2:57" x14ac:dyDescent="0.25">
      <c r="B38" s="1"/>
      <c r="D38" s="5">
        <f>SUM(D7:D37)</f>
        <v>2</v>
      </c>
      <c r="E38" s="3">
        <f>SUM(E7:E37)</f>
        <v>11</v>
      </c>
      <c r="F38" s="3">
        <f>SUM(F7:F37)</f>
        <v>100</v>
      </c>
      <c r="G38">
        <f>SUM(G7:G36)</f>
        <v>1518.75</v>
      </c>
    </row>
    <row r="39" spans="2:57" x14ac:dyDescent="0.25">
      <c r="B39" s="1"/>
      <c r="G39">
        <f>G38-F38</f>
        <v>1418.75</v>
      </c>
    </row>
  </sheetData>
  <mergeCells count="12">
    <mergeCell ref="AZ4:BE4"/>
    <mergeCell ref="A2:F2"/>
    <mergeCell ref="M2:R2"/>
    <mergeCell ref="V2:AA2"/>
    <mergeCell ref="AG2:AL2"/>
    <mergeCell ref="AP2:AU2"/>
    <mergeCell ref="AZ2:BE2"/>
    <mergeCell ref="A4:F4"/>
    <mergeCell ref="M4:R4"/>
    <mergeCell ref="V4:AA4"/>
    <mergeCell ref="AG4:AL4"/>
    <mergeCell ref="AP4:AU4"/>
  </mergeCells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B312-4B02-4833-BE82-A45AA5F135BD}">
  <dimension ref="A2:BE39"/>
  <sheetViews>
    <sheetView zoomScale="85" zoomScaleNormal="85" workbookViewId="0">
      <selection activeCell="G39" sqref="G39"/>
    </sheetView>
  </sheetViews>
  <sheetFormatPr defaultRowHeight="15" x14ac:dyDescent="0.25"/>
  <cols>
    <col min="1" max="2" width="16.85546875" customWidth="1"/>
    <col min="3" max="3" width="14" customWidth="1"/>
    <col min="4" max="4" width="19.85546875" style="5" customWidth="1"/>
    <col min="5" max="5" width="17" style="3" customWidth="1"/>
    <col min="6" max="6" width="13.28515625" style="3" customWidth="1"/>
    <col min="9" max="9" width="21.5703125" customWidth="1"/>
    <col min="12" max="12" width="9.140625" customWidth="1"/>
    <col min="13" max="13" width="15" customWidth="1"/>
    <col min="14" max="14" width="14.28515625" customWidth="1"/>
    <col min="15" max="15" width="13.85546875" customWidth="1"/>
    <col min="16" max="16" width="14.5703125" customWidth="1"/>
    <col min="17" max="17" width="11.42578125" customWidth="1"/>
    <col min="21" max="21" width="9.140625" customWidth="1"/>
    <col min="22" max="22" width="7" customWidth="1"/>
    <col min="23" max="23" width="13.5703125" customWidth="1"/>
    <col min="24" max="24" width="12.28515625" customWidth="1"/>
    <col min="34" max="34" width="15.7109375" customWidth="1"/>
    <col min="35" max="35" width="14.42578125" customWidth="1"/>
    <col min="43" max="43" width="17" customWidth="1"/>
    <col min="44" max="44" width="13.5703125" customWidth="1"/>
    <col min="45" max="45" width="12.140625" customWidth="1"/>
    <col min="46" max="46" width="13.5703125" customWidth="1"/>
    <col min="53" max="53" width="14.28515625" customWidth="1"/>
    <col min="54" max="54" width="14" customWidth="1"/>
    <col min="55" max="55" width="11.140625" customWidth="1"/>
    <col min="56" max="56" width="12.7109375" customWidth="1"/>
  </cols>
  <sheetData>
    <row r="2" spans="1:57" x14ac:dyDescent="0.25">
      <c r="A2" s="22" t="s">
        <v>34</v>
      </c>
      <c r="B2" s="22"/>
      <c r="C2" s="22"/>
      <c r="D2" s="22"/>
      <c r="E2" s="22"/>
      <c r="F2" s="22"/>
      <c r="M2" s="22"/>
      <c r="N2" s="22"/>
      <c r="O2" s="22"/>
      <c r="P2" s="22"/>
      <c r="Q2" s="22"/>
      <c r="R2" s="22"/>
      <c r="V2" s="22"/>
      <c r="W2" s="22"/>
      <c r="X2" s="22"/>
      <c r="Y2" s="22"/>
      <c r="Z2" s="22"/>
      <c r="AA2" s="22"/>
      <c r="AG2" s="22"/>
      <c r="AH2" s="22"/>
      <c r="AI2" s="22"/>
      <c r="AJ2" s="22"/>
      <c r="AK2" s="22"/>
      <c r="AL2" s="22"/>
      <c r="AP2" s="22"/>
      <c r="AQ2" s="22"/>
      <c r="AR2" s="22"/>
      <c r="AS2" s="22"/>
      <c r="AT2" s="22"/>
      <c r="AU2" s="22"/>
      <c r="AZ2" s="22"/>
      <c r="BA2" s="22"/>
      <c r="BB2" s="22"/>
      <c r="BC2" s="22"/>
      <c r="BD2" s="22"/>
      <c r="BE2" s="22"/>
    </row>
    <row r="3" spans="1:57" x14ac:dyDescent="0.25">
      <c r="P3" s="5"/>
      <c r="Q3" s="3"/>
      <c r="R3" s="3"/>
      <c r="Y3" s="5"/>
      <c r="Z3" s="3"/>
      <c r="AA3" s="3"/>
      <c r="AJ3" s="5"/>
      <c r="AK3" s="3"/>
      <c r="AL3" s="3"/>
      <c r="AS3" s="5"/>
      <c r="AT3" s="3"/>
      <c r="AU3" s="3"/>
      <c r="BC3" s="5"/>
      <c r="BD3" s="3"/>
      <c r="BE3" s="3"/>
    </row>
    <row r="4" spans="1:57" x14ac:dyDescent="0.25">
      <c r="A4" s="21" t="s">
        <v>16</v>
      </c>
      <c r="B4" s="21"/>
      <c r="C4" s="21"/>
      <c r="D4" s="21"/>
      <c r="E4" s="21"/>
      <c r="F4" s="21"/>
      <c r="M4" s="21"/>
      <c r="N4" s="21"/>
      <c r="O4" s="21"/>
      <c r="P4" s="21"/>
      <c r="Q4" s="21"/>
      <c r="R4" s="21"/>
      <c r="V4" s="23"/>
      <c r="W4" s="23"/>
      <c r="X4" s="23"/>
      <c r="Y4" s="23"/>
      <c r="Z4" s="23"/>
      <c r="AA4" s="23"/>
      <c r="AG4" s="21"/>
      <c r="AH4" s="21"/>
      <c r="AI4" s="21"/>
      <c r="AJ4" s="21"/>
      <c r="AK4" s="21"/>
      <c r="AL4" s="21"/>
      <c r="AP4" s="21"/>
      <c r="AQ4" s="21"/>
      <c r="AR4" s="21"/>
      <c r="AS4" s="21"/>
      <c r="AT4" s="21"/>
      <c r="AU4" s="21"/>
      <c r="AZ4" s="21"/>
      <c r="BA4" s="21"/>
      <c r="BB4" s="21"/>
      <c r="BC4" s="21"/>
      <c r="BD4" s="21"/>
      <c r="BE4" s="21"/>
    </row>
    <row r="5" spans="1:57" x14ac:dyDescent="0.25">
      <c r="P5" s="5"/>
      <c r="Q5" s="3"/>
      <c r="R5" s="3"/>
      <c r="Y5" s="5"/>
      <c r="Z5" s="3"/>
      <c r="AA5" s="3"/>
      <c r="AG5" s="6"/>
      <c r="AH5" s="6"/>
      <c r="AI5" s="6"/>
      <c r="AJ5" s="7"/>
      <c r="AK5" s="8"/>
      <c r="AL5" s="8"/>
      <c r="AS5" s="5"/>
      <c r="AT5" s="3"/>
      <c r="AU5" s="3"/>
      <c r="BC5" s="5"/>
      <c r="BD5" s="3"/>
      <c r="BE5" s="3"/>
    </row>
    <row r="6" spans="1:57" x14ac:dyDescent="0.25">
      <c r="B6" t="s">
        <v>0</v>
      </c>
      <c r="C6" t="s">
        <v>1</v>
      </c>
      <c r="D6" s="5" t="s">
        <v>2</v>
      </c>
      <c r="E6" s="3" t="s">
        <v>3</v>
      </c>
      <c r="F6" s="3" t="s">
        <v>4</v>
      </c>
      <c r="G6" t="s">
        <v>14</v>
      </c>
      <c r="I6" t="s">
        <v>19</v>
      </c>
      <c r="P6" s="5"/>
      <c r="Q6" s="3"/>
      <c r="R6" s="3"/>
      <c r="Y6" s="5"/>
      <c r="Z6" s="3"/>
      <c r="AA6" s="3"/>
      <c r="AJ6" s="5"/>
      <c r="AK6" s="3"/>
      <c r="AL6" s="3"/>
      <c r="AS6" s="5"/>
      <c r="AT6" s="3"/>
      <c r="AU6" s="3"/>
      <c r="BC6" s="5"/>
      <c r="BD6" s="3"/>
      <c r="BE6" s="3"/>
    </row>
    <row r="7" spans="1:57" x14ac:dyDescent="0.25">
      <c r="B7" s="4">
        <v>46023</v>
      </c>
      <c r="C7" t="s">
        <v>11</v>
      </c>
      <c r="D7" s="5">
        <v>0</v>
      </c>
      <c r="G7">
        <f>(D7*8+E7)*75</f>
        <v>0</v>
      </c>
      <c r="N7" s="4"/>
      <c r="P7" s="5"/>
      <c r="Q7" s="3"/>
      <c r="R7" s="3"/>
      <c r="W7" s="4"/>
      <c r="Y7" s="5"/>
      <c r="Z7" s="3"/>
      <c r="AA7" s="3"/>
      <c r="AH7" s="4"/>
      <c r="AJ7" s="5"/>
      <c r="AK7" s="3"/>
      <c r="AL7" s="3"/>
      <c r="AQ7" s="4"/>
      <c r="AS7" s="5"/>
      <c r="AT7" s="3"/>
      <c r="AU7" s="3"/>
      <c r="BA7" s="4"/>
      <c r="BC7" s="5"/>
      <c r="BD7" s="3"/>
      <c r="BE7" s="3"/>
    </row>
    <row r="8" spans="1:57" x14ac:dyDescent="0.25">
      <c r="B8" s="4">
        <v>46024</v>
      </c>
      <c r="C8" t="s">
        <v>12</v>
      </c>
      <c r="D8" s="5">
        <v>0</v>
      </c>
      <c r="E8" s="17"/>
      <c r="F8" s="17"/>
      <c r="G8">
        <f t="shared" ref="G8:G37" si="0">(D8*8+E8)*81.25</f>
        <v>0</v>
      </c>
      <c r="N8" s="4"/>
      <c r="P8" s="5"/>
      <c r="Q8" s="3"/>
      <c r="R8" s="3"/>
      <c r="W8" s="4"/>
      <c r="Y8" s="5"/>
      <c r="Z8" s="3"/>
      <c r="AA8" s="3"/>
      <c r="AH8" s="4"/>
      <c r="AJ8" s="5"/>
      <c r="AK8" s="3"/>
      <c r="AL8" s="3"/>
      <c r="AQ8" s="4"/>
      <c r="AS8" s="5"/>
      <c r="AT8" s="3"/>
      <c r="AU8" s="3"/>
      <c r="BA8" s="4"/>
      <c r="BC8" s="5"/>
      <c r="BD8" s="3"/>
      <c r="BE8" s="3"/>
    </row>
    <row r="9" spans="1:57" x14ac:dyDescent="0.25">
      <c r="B9" s="4">
        <v>46025</v>
      </c>
      <c r="C9" t="s">
        <v>6</v>
      </c>
      <c r="D9" s="5">
        <v>0</v>
      </c>
      <c r="E9" s="17"/>
      <c r="F9" s="17"/>
      <c r="G9">
        <f t="shared" si="0"/>
        <v>0</v>
      </c>
      <c r="N9" s="4"/>
      <c r="P9" s="5"/>
      <c r="Q9" s="3"/>
      <c r="R9" s="3"/>
      <c r="W9" s="4"/>
      <c r="Y9" s="5"/>
      <c r="Z9" s="3"/>
      <c r="AA9" s="3"/>
      <c r="AH9" s="4"/>
      <c r="AJ9" s="5"/>
      <c r="AK9" s="3"/>
      <c r="AL9" s="3"/>
      <c r="AQ9" s="4"/>
      <c r="AS9" s="5"/>
      <c r="AT9" s="3"/>
      <c r="AU9" s="3"/>
      <c r="BA9" s="4"/>
      <c r="BC9" s="5"/>
      <c r="BD9" s="3"/>
      <c r="BE9" s="3"/>
    </row>
    <row r="10" spans="1:57" x14ac:dyDescent="0.25">
      <c r="B10" s="4">
        <v>46026</v>
      </c>
      <c r="C10" t="s">
        <v>7</v>
      </c>
      <c r="D10" s="5">
        <v>1</v>
      </c>
      <c r="E10" s="17">
        <v>7</v>
      </c>
      <c r="F10" s="17"/>
      <c r="G10">
        <f t="shared" si="0"/>
        <v>1218.75</v>
      </c>
      <c r="N10" s="4"/>
      <c r="P10" s="5"/>
      <c r="Q10" s="3"/>
      <c r="R10" s="3"/>
      <c r="W10" s="4"/>
      <c r="Y10" s="5"/>
      <c r="Z10" s="3"/>
      <c r="AA10" s="3"/>
      <c r="AH10" s="4"/>
      <c r="AJ10" s="5"/>
      <c r="AK10" s="3"/>
      <c r="AL10" s="3"/>
      <c r="AQ10" s="4"/>
      <c r="AS10" s="5"/>
      <c r="AT10" s="3"/>
      <c r="AU10" s="3"/>
      <c r="BA10" s="4"/>
      <c r="BC10" s="5"/>
      <c r="BD10" s="3"/>
      <c r="BE10" s="3"/>
    </row>
    <row r="11" spans="1:57" x14ac:dyDescent="0.25">
      <c r="B11" s="4">
        <v>46027</v>
      </c>
      <c r="C11" t="s">
        <v>8</v>
      </c>
      <c r="D11" s="5">
        <v>1</v>
      </c>
      <c r="E11" s="17">
        <v>1</v>
      </c>
      <c r="F11" s="17"/>
      <c r="G11">
        <f t="shared" si="0"/>
        <v>731.25</v>
      </c>
      <c r="N11" s="4"/>
      <c r="P11" s="5"/>
      <c r="Q11" s="3"/>
      <c r="R11" s="3"/>
      <c r="W11" s="4"/>
      <c r="Y11" s="5"/>
      <c r="Z11" s="3"/>
      <c r="AA11" s="3"/>
      <c r="AH11" s="4"/>
      <c r="AJ11" s="5"/>
      <c r="AK11" s="3"/>
      <c r="AL11" s="3"/>
      <c r="AQ11" s="4"/>
      <c r="AS11" s="5"/>
      <c r="AT11" s="3"/>
      <c r="AU11" s="3"/>
      <c r="BA11" s="4"/>
      <c r="BC11" s="5"/>
      <c r="BD11" s="3"/>
      <c r="BE11" s="3"/>
    </row>
    <row r="12" spans="1:57" x14ac:dyDescent="0.25">
      <c r="B12" s="4">
        <v>46028</v>
      </c>
      <c r="C12" t="s">
        <v>9</v>
      </c>
      <c r="D12" s="5">
        <v>1</v>
      </c>
      <c r="E12" s="17">
        <v>3</v>
      </c>
      <c r="F12" s="17"/>
      <c r="G12">
        <f t="shared" si="0"/>
        <v>893.75</v>
      </c>
      <c r="N12" s="4"/>
      <c r="P12" s="5"/>
      <c r="Q12" s="3"/>
      <c r="R12" s="3"/>
      <c r="W12" s="4"/>
      <c r="Y12" s="5"/>
      <c r="Z12" s="3"/>
      <c r="AA12" s="3"/>
      <c r="AH12" s="4"/>
      <c r="AJ12" s="5"/>
      <c r="AK12" s="3"/>
      <c r="AL12" s="3"/>
      <c r="AQ12" s="4"/>
      <c r="AS12" s="5"/>
      <c r="AT12" s="3"/>
      <c r="AU12" s="3"/>
      <c r="BA12" s="4"/>
      <c r="BC12" s="5"/>
      <c r="BD12" s="3"/>
      <c r="BE12" s="3"/>
    </row>
    <row r="13" spans="1:57" x14ac:dyDescent="0.25">
      <c r="B13" s="4">
        <v>46029</v>
      </c>
      <c r="C13" t="s">
        <v>10</v>
      </c>
      <c r="D13" s="5">
        <v>1</v>
      </c>
      <c r="E13" s="17">
        <v>7</v>
      </c>
      <c r="F13" s="17">
        <v>500</v>
      </c>
      <c r="G13">
        <f t="shared" si="0"/>
        <v>1218.75</v>
      </c>
      <c r="N13" s="4"/>
      <c r="P13" s="5"/>
      <c r="Q13" s="3"/>
      <c r="R13" s="3"/>
      <c r="W13" s="4"/>
      <c r="Y13" s="5"/>
      <c r="Z13" s="3"/>
      <c r="AA13" s="3"/>
      <c r="AH13" s="4"/>
      <c r="AJ13" s="5"/>
      <c r="AK13" s="3"/>
      <c r="AL13" s="3"/>
      <c r="AQ13" s="4"/>
      <c r="AS13" s="5"/>
      <c r="AT13" s="3"/>
      <c r="AU13" s="3"/>
      <c r="BA13" s="4"/>
      <c r="BC13" s="5"/>
      <c r="BD13" s="3"/>
      <c r="BE13" s="3"/>
    </row>
    <row r="14" spans="1:57" x14ac:dyDescent="0.25">
      <c r="B14" s="4">
        <v>46030</v>
      </c>
      <c r="C14" t="s">
        <v>11</v>
      </c>
      <c r="D14" s="5">
        <v>0</v>
      </c>
      <c r="E14" s="17"/>
      <c r="F14" s="17"/>
      <c r="G14">
        <f t="shared" si="0"/>
        <v>0</v>
      </c>
      <c r="N14" s="4"/>
      <c r="P14" s="5"/>
      <c r="Q14" s="3"/>
      <c r="R14" s="3"/>
      <c r="W14" s="4"/>
      <c r="Y14" s="5"/>
      <c r="Z14" s="3"/>
      <c r="AA14" s="3"/>
      <c r="AH14" s="4"/>
      <c r="AJ14" s="5"/>
      <c r="AK14" s="3"/>
      <c r="AL14" s="3"/>
      <c r="AQ14" s="4"/>
      <c r="AS14" s="5"/>
      <c r="AT14" s="3"/>
      <c r="AU14" s="3"/>
      <c r="BA14" s="4"/>
      <c r="BC14" s="5"/>
      <c r="BD14" s="3"/>
      <c r="BE14" s="3"/>
    </row>
    <row r="15" spans="1:57" x14ac:dyDescent="0.25">
      <c r="B15" s="4">
        <v>46031</v>
      </c>
      <c r="C15" t="s">
        <v>12</v>
      </c>
      <c r="D15" s="5">
        <v>1</v>
      </c>
      <c r="E15" s="17">
        <v>7</v>
      </c>
      <c r="F15" s="17">
        <v>200</v>
      </c>
      <c r="G15">
        <f t="shared" si="0"/>
        <v>1218.75</v>
      </c>
      <c r="N15" s="4"/>
      <c r="P15" s="5"/>
      <c r="Q15" s="3"/>
      <c r="R15" s="3"/>
      <c r="W15" s="4"/>
      <c r="Y15" s="5"/>
      <c r="Z15" s="3"/>
      <c r="AA15" s="3"/>
      <c r="AH15" s="4"/>
      <c r="AJ15" s="5"/>
      <c r="AK15" s="3"/>
      <c r="AL15" s="3"/>
      <c r="AQ15" s="4"/>
      <c r="AS15" s="5"/>
      <c r="AT15" s="3"/>
      <c r="AU15" s="3"/>
      <c r="BA15" s="4"/>
      <c r="BC15" s="5"/>
      <c r="BD15" s="3"/>
      <c r="BE15" s="3"/>
    </row>
    <row r="16" spans="1:57" x14ac:dyDescent="0.25">
      <c r="B16" s="4">
        <v>46032</v>
      </c>
      <c r="C16" t="s">
        <v>6</v>
      </c>
      <c r="D16" s="5">
        <v>1</v>
      </c>
      <c r="E16" s="17">
        <v>10</v>
      </c>
      <c r="F16" s="17">
        <v>100</v>
      </c>
      <c r="G16">
        <f t="shared" si="0"/>
        <v>1462.5</v>
      </c>
      <c r="N16" s="4"/>
      <c r="P16" s="5"/>
      <c r="Q16" s="3"/>
      <c r="R16" s="3"/>
      <c r="W16" s="4"/>
      <c r="Y16" s="5"/>
      <c r="Z16" s="3"/>
      <c r="AA16" s="3"/>
      <c r="AH16" s="4"/>
      <c r="AJ16" s="5"/>
      <c r="AK16" s="3"/>
      <c r="AL16" s="3"/>
      <c r="AQ16" s="4"/>
      <c r="AS16" s="5"/>
      <c r="AT16" s="3"/>
      <c r="AU16" s="3"/>
      <c r="BA16" s="4"/>
      <c r="BC16" s="5"/>
      <c r="BD16" s="3"/>
      <c r="BE16" s="3"/>
    </row>
    <row r="17" spans="2:57" x14ac:dyDescent="0.25">
      <c r="B17" s="4">
        <v>46033</v>
      </c>
      <c r="C17" t="s">
        <v>7</v>
      </c>
      <c r="D17" s="5">
        <v>1</v>
      </c>
      <c r="E17" s="17">
        <v>10</v>
      </c>
      <c r="F17" s="17">
        <v>100</v>
      </c>
      <c r="G17">
        <f t="shared" si="0"/>
        <v>1462.5</v>
      </c>
      <c r="L17">
        <v>500</v>
      </c>
      <c r="M17">
        <f t="shared" ref="M17:M29" si="1">SUM(L17)</f>
        <v>500</v>
      </c>
      <c r="N17" s="4"/>
      <c r="P17" s="5"/>
      <c r="Q17" s="3"/>
      <c r="R17" s="3"/>
      <c r="W17" s="4"/>
      <c r="Y17" s="5"/>
      <c r="Z17" s="3"/>
      <c r="AA17" s="3"/>
      <c r="AH17" s="4"/>
      <c r="AJ17" s="5"/>
      <c r="AK17" s="3"/>
      <c r="AL17" s="3"/>
      <c r="AQ17" s="4"/>
      <c r="AS17" s="5"/>
      <c r="AT17" s="3"/>
      <c r="AU17" s="3"/>
      <c r="BA17" s="4"/>
      <c r="BC17" s="5"/>
      <c r="BD17" s="3"/>
      <c r="BE17" s="3"/>
    </row>
    <row r="18" spans="2:57" x14ac:dyDescent="0.25">
      <c r="B18" s="4">
        <v>46034</v>
      </c>
      <c r="C18" t="s">
        <v>8</v>
      </c>
      <c r="D18" s="5">
        <v>1</v>
      </c>
      <c r="E18" s="17">
        <v>5</v>
      </c>
      <c r="F18" s="17"/>
      <c r="G18">
        <f t="shared" si="0"/>
        <v>1056.25</v>
      </c>
      <c r="L18">
        <v>200</v>
      </c>
      <c r="M18">
        <f t="shared" si="1"/>
        <v>200</v>
      </c>
      <c r="N18" s="4"/>
      <c r="P18" s="5"/>
      <c r="Q18" s="3"/>
      <c r="R18" s="3"/>
      <c r="W18" s="4"/>
      <c r="Y18" s="5"/>
      <c r="Z18" s="3"/>
      <c r="AA18" s="3"/>
      <c r="AH18" s="4"/>
      <c r="AJ18" s="5"/>
      <c r="AK18" s="3"/>
      <c r="AL18" s="3"/>
      <c r="AQ18" s="4"/>
      <c r="AS18" s="5"/>
      <c r="AT18" s="3"/>
      <c r="AU18" s="3"/>
      <c r="BA18" s="4"/>
      <c r="BC18" s="5"/>
      <c r="BD18" s="3"/>
      <c r="BE18" s="3"/>
    </row>
    <row r="19" spans="2:57" x14ac:dyDescent="0.25">
      <c r="B19" s="4">
        <v>46035</v>
      </c>
      <c r="C19" t="s">
        <v>9</v>
      </c>
      <c r="D19" s="5">
        <v>1</v>
      </c>
      <c r="E19" s="17">
        <v>4</v>
      </c>
      <c r="F19" s="17">
        <v>1500</v>
      </c>
      <c r="G19">
        <f t="shared" si="0"/>
        <v>975</v>
      </c>
      <c r="I19" t="s">
        <v>30</v>
      </c>
      <c r="L19">
        <v>200</v>
      </c>
      <c r="M19">
        <f t="shared" si="1"/>
        <v>200</v>
      </c>
      <c r="N19" s="4"/>
      <c r="P19" s="5"/>
      <c r="Q19" s="3"/>
      <c r="R19" s="3"/>
      <c r="W19" s="4"/>
      <c r="Y19" s="5"/>
      <c r="Z19" s="3"/>
      <c r="AA19" s="3"/>
      <c r="AH19" s="4"/>
      <c r="AJ19" s="5"/>
      <c r="AK19" s="3"/>
      <c r="AL19" s="3"/>
      <c r="AQ19" s="4"/>
      <c r="AS19" s="5"/>
      <c r="AT19" s="3"/>
      <c r="AU19" s="3"/>
      <c r="BA19" s="4"/>
      <c r="BC19" s="5"/>
      <c r="BD19" s="3"/>
      <c r="BE19" s="3"/>
    </row>
    <row r="20" spans="2:57" x14ac:dyDescent="0.25">
      <c r="B20" s="4">
        <v>46036</v>
      </c>
      <c r="C20" t="s">
        <v>10</v>
      </c>
      <c r="D20" s="5">
        <v>0</v>
      </c>
      <c r="E20" s="17">
        <v>0</v>
      </c>
      <c r="F20" s="17"/>
      <c r="G20">
        <f t="shared" si="0"/>
        <v>0</v>
      </c>
      <c r="L20">
        <v>200</v>
      </c>
      <c r="M20">
        <f t="shared" si="1"/>
        <v>200</v>
      </c>
      <c r="N20" s="4"/>
      <c r="P20" s="5"/>
      <c r="Q20" s="3"/>
      <c r="R20" s="3"/>
      <c r="W20" s="4"/>
      <c r="Y20" s="5"/>
      <c r="Z20" s="3"/>
      <c r="AA20" s="3"/>
      <c r="AH20" s="4"/>
      <c r="AJ20" s="5"/>
      <c r="AK20" s="3"/>
      <c r="AL20" s="3"/>
      <c r="AQ20" s="4"/>
      <c r="AS20" s="5"/>
      <c r="AT20" s="3"/>
      <c r="AU20" s="3"/>
      <c r="BA20" s="4"/>
      <c r="BC20" s="5"/>
      <c r="BD20" s="3"/>
      <c r="BE20" s="3"/>
    </row>
    <row r="21" spans="2:57" x14ac:dyDescent="0.25">
      <c r="B21" s="4">
        <v>46037</v>
      </c>
      <c r="C21" t="s">
        <v>11</v>
      </c>
      <c r="D21" s="5">
        <v>1</v>
      </c>
      <c r="E21" s="17">
        <v>0</v>
      </c>
      <c r="F21" s="17"/>
      <c r="G21">
        <f t="shared" si="0"/>
        <v>650</v>
      </c>
      <c r="L21">
        <v>2000</v>
      </c>
      <c r="M21">
        <f t="shared" si="1"/>
        <v>2000</v>
      </c>
      <c r="N21" s="4"/>
      <c r="P21" s="5"/>
      <c r="Q21" s="3"/>
      <c r="R21" s="3"/>
      <c r="W21" s="4"/>
      <c r="Y21" s="5"/>
      <c r="Z21" s="3"/>
      <c r="AA21" s="3"/>
      <c r="AH21" s="4"/>
      <c r="AJ21" s="5"/>
      <c r="AK21" s="3"/>
      <c r="AL21" s="3"/>
      <c r="AQ21" s="4"/>
      <c r="AS21" s="5"/>
      <c r="AT21" s="3"/>
      <c r="AU21" s="3"/>
      <c r="BA21" s="4"/>
      <c r="BC21" s="5"/>
      <c r="BD21" s="3"/>
      <c r="BE21" s="3"/>
    </row>
    <row r="22" spans="2:57" x14ac:dyDescent="0.25">
      <c r="B22" s="4">
        <v>46038</v>
      </c>
      <c r="C22" t="s">
        <v>12</v>
      </c>
      <c r="D22" s="5">
        <v>1</v>
      </c>
      <c r="E22" s="17"/>
      <c r="F22" s="17"/>
      <c r="G22">
        <f t="shared" si="0"/>
        <v>650</v>
      </c>
      <c r="L22">
        <v>300</v>
      </c>
      <c r="M22">
        <f t="shared" si="1"/>
        <v>300</v>
      </c>
      <c r="N22" s="4"/>
      <c r="P22" s="5"/>
      <c r="Q22" s="3"/>
      <c r="R22" s="3"/>
      <c r="W22" s="4"/>
      <c r="Y22" s="5"/>
      <c r="Z22" s="3"/>
      <c r="AA22" s="3"/>
      <c r="AH22" s="4"/>
      <c r="AJ22" s="5"/>
      <c r="AK22" s="3"/>
      <c r="AL22" s="3"/>
      <c r="AQ22" s="4"/>
      <c r="AS22" s="5"/>
      <c r="AT22" s="3"/>
      <c r="AU22" s="3"/>
      <c r="BA22" s="4"/>
      <c r="BC22" s="5"/>
      <c r="BD22" s="3"/>
      <c r="BE22" s="3"/>
    </row>
    <row r="23" spans="2:57" x14ac:dyDescent="0.25">
      <c r="B23" s="4">
        <v>46039</v>
      </c>
      <c r="C23" t="s">
        <v>6</v>
      </c>
      <c r="D23" s="5">
        <v>1</v>
      </c>
      <c r="E23" s="17"/>
      <c r="F23" s="17"/>
      <c r="G23">
        <f t="shared" si="0"/>
        <v>650</v>
      </c>
      <c r="L23">
        <v>200</v>
      </c>
      <c r="M23">
        <f t="shared" si="1"/>
        <v>200</v>
      </c>
      <c r="N23" s="4"/>
      <c r="P23" s="5"/>
      <c r="Q23" s="3"/>
      <c r="R23" s="3"/>
      <c r="W23" s="4"/>
      <c r="Y23" s="5"/>
      <c r="Z23" s="3"/>
      <c r="AA23" s="3"/>
      <c r="AH23" s="4"/>
      <c r="AJ23" s="5"/>
      <c r="AK23" s="3"/>
      <c r="AL23" s="3"/>
      <c r="AQ23" s="4"/>
      <c r="AS23" s="5"/>
      <c r="AT23" s="3"/>
      <c r="AU23" s="3"/>
      <c r="BA23" s="4"/>
      <c r="BC23" s="5"/>
      <c r="BD23" s="3"/>
      <c r="BE23" s="3"/>
    </row>
    <row r="24" spans="2:57" x14ac:dyDescent="0.25">
      <c r="B24" s="4">
        <v>46040</v>
      </c>
      <c r="C24" t="s">
        <v>7</v>
      </c>
      <c r="D24" s="5">
        <v>1</v>
      </c>
      <c r="E24" s="17"/>
      <c r="F24" s="17">
        <v>3000</v>
      </c>
      <c r="G24">
        <f t="shared" si="0"/>
        <v>650</v>
      </c>
      <c r="L24">
        <v>300</v>
      </c>
      <c r="M24">
        <f t="shared" si="1"/>
        <v>300</v>
      </c>
      <c r="N24" s="4"/>
      <c r="P24" s="5"/>
      <c r="Q24" s="3"/>
      <c r="R24" s="3"/>
      <c r="W24" s="4"/>
      <c r="Y24" s="5"/>
      <c r="Z24" s="3"/>
      <c r="AA24" s="3"/>
      <c r="AH24" s="4"/>
      <c r="AJ24" s="5"/>
      <c r="AK24" s="3"/>
      <c r="AL24" s="3"/>
      <c r="AQ24" s="4"/>
      <c r="AS24" s="5"/>
      <c r="AT24" s="3"/>
      <c r="AU24" s="3"/>
      <c r="BA24" s="4"/>
      <c r="BC24" s="5"/>
      <c r="BD24" s="3"/>
      <c r="BE24" s="3"/>
    </row>
    <row r="25" spans="2:57" x14ac:dyDescent="0.25">
      <c r="B25" s="4">
        <v>46041</v>
      </c>
      <c r="C25" t="s">
        <v>8</v>
      </c>
      <c r="D25" s="5">
        <v>1</v>
      </c>
      <c r="E25" s="17"/>
      <c r="F25" s="17">
        <v>350</v>
      </c>
      <c r="G25">
        <f t="shared" si="0"/>
        <v>650</v>
      </c>
      <c r="L25">
        <v>100</v>
      </c>
      <c r="M25">
        <f t="shared" si="1"/>
        <v>100</v>
      </c>
      <c r="N25" s="4"/>
      <c r="P25" s="5"/>
      <c r="Q25" s="3"/>
      <c r="R25" s="3"/>
      <c r="W25" s="4"/>
      <c r="Y25" s="5"/>
      <c r="Z25" s="3"/>
      <c r="AA25" s="3"/>
      <c r="AH25" s="4"/>
      <c r="AJ25" s="5"/>
      <c r="AK25" s="3"/>
      <c r="AL25" s="3"/>
      <c r="AQ25" s="4"/>
      <c r="AS25" s="5"/>
      <c r="AT25" s="3"/>
      <c r="AU25" s="3"/>
      <c r="BA25" s="4"/>
      <c r="BC25" s="5"/>
      <c r="BD25" s="3"/>
      <c r="BE25" s="3"/>
    </row>
    <row r="26" spans="2:57" x14ac:dyDescent="0.25">
      <c r="B26" s="4">
        <v>46042</v>
      </c>
      <c r="C26" t="s">
        <v>9</v>
      </c>
      <c r="D26" s="5">
        <v>1</v>
      </c>
      <c r="E26" s="17"/>
      <c r="F26" s="17">
        <v>350</v>
      </c>
      <c r="G26">
        <f t="shared" si="0"/>
        <v>650</v>
      </c>
      <c r="L26">
        <v>100</v>
      </c>
      <c r="M26">
        <f t="shared" si="1"/>
        <v>100</v>
      </c>
      <c r="N26" s="4"/>
      <c r="P26" s="5"/>
      <c r="Q26" s="3"/>
      <c r="R26" s="3"/>
      <c r="W26" s="4"/>
      <c r="Y26" s="5"/>
      <c r="Z26" s="3"/>
      <c r="AA26" s="3"/>
      <c r="AH26" s="4"/>
      <c r="AJ26" s="5"/>
      <c r="AK26" s="3"/>
      <c r="AL26" s="3"/>
      <c r="AQ26" s="4"/>
      <c r="AS26" s="5"/>
      <c r="AT26" s="3"/>
      <c r="AU26" s="3"/>
      <c r="BA26" s="4"/>
      <c r="BC26" s="5"/>
      <c r="BD26" s="3"/>
      <c r="BE26" s="3"/>
    </row>
    <row r="27" spans="2:57" x14ac:dyDescent="0.25">
      <c r="B27" s="4">
        <v>46043</v>
      </c>
      <c r="C27" t="s">
        <v>10</v>
      </c>
      <c r="D27" s="5">
        <v>1</v>
      </c>
      <c r="E27" s="17"/>
      <c r="F27" s="17">
        <v>500</v>
      </c>
      <c r="G27">
        <f t="shared" si="0"/>
        <v>650</v>
      </c>
      <c r="L27">
        <v>100</v>
      </c>
      <c r="M27">
        <f t="shared" si="1"/>
        <v>100</v>
      </c>
      <c r="N27" s="4"/>
      <c r="P27" s="5"/>
      <c r="Q27" s="3"/>
      <c r="R27" s="3"/>
      <c r="W27" s="4"/>
      <c r="Y27" s="5"/>
      <c r="Z27" s="3"/>
      <c r="AA27" s="3"/>
      <c r="AH27" s="4"/>
      <c r="AJ27" s="5"/>
      <c r="AK27" s="3"/>
      <c r="AL27" s="3"/>
      <c r="AQ27" s="4"/>
      <c r="AS27" s="5"/>
      <c r="AT27" s="3"/>
      <c r="AU27" s="3"/>
      <c r="BA27" s="4"/>
      <c r="BC27" s="5"/>
      <c r="BD27" s="3"/>
      <c r="BE27" s="3"/>
    </row>
    <row r="28" spans="2:57" x14ac:dyDescent="0.25">
      <c r="B28" s="4">
        <v>46044</v>
      </c>
      <c r="C28" t="s">
        <v>11</v>
      </c>
      <c r="D28" s="5">
        <v>1</v>
      </c>
      <c r="E28" s="17"/>
      <c r="F28" s="17">
        <v>350</v>
      </c>
      <c r="G28">
        <f t="shared" si="0"/>
        <v>650</v>
      </c>
      <c r="L28">
        <v>200</v>
      </c>
      <c r="M28">
        <f t="shared" si="1"/>
        <v>200</v>
      </c>
      <c r="N28" s="4"/>
      <c r="P28" s="5"/>
      <c r="Q28" s="3"/>
      <c r="R28" s="3"/>
      <c r="W28" s="4"/>
      <c r="Y28" s="5"/>
      <c r="Z28" s="3"/>
      <c r="AA28" s="3"/>
      <c r="AH28" s="4"/>
      <c r="AJ28" s="5"/>
      <c r="AK28" s="3"/>
      <c r="AL28" s="3"/>
      <c r="AQ28" s="4"/>
      <c r="AS28" s="5"/>
      <c r="AT28" s="3"/>
      <c r="AU28" s="3"/>
      <c r="BA28" s="4"/>
      <c r="BC28" s="5"/>
      <c r="BD28" s="3"/>
      <c r="BE28" s="3"/>
    </row>
    <row r="29" spans="2:57" x14ac:dyDescent="0.25">
      <c r="B29" s="4">
        <v>46045</v>
      </c>
      <c r="C29" t="s">
        <v>12</v>
      </c>
      <c r="D29" s="5">
        <v>1</v>
      </c>
      <c r="E29" s="17"/>
      <c r="F29" s="17"/>
      <c r="G29">
        <f t="shared" si="0"/>
        <v>650</v>
      </c>
      <c r="L29">
        <f>SUM(L17:L28)</f>
        <v>4400</v>
      </c>
      <c r="M29">
        <f t="shared" si="1"/>
        <v>4400</v>
      </c>
      <c r="N29" s="4"/>
      <c r="P29" s="5"/>
      <c r="Q29" s="3"/>
      <c r="R29" s="3"/>
      <c r="W29" s="4"/>
      <c r="Y29" s="5"/>
      <c r="Z29" s="3"/>
      <c r="AA29" s="3"/>
      <c r="AH29" s="4"/>
      <c r="AJ29" s="5"/>
      <c r="AK29" s="3"/>
      <c r="AL29" s="3"/>
      <c r="AQ29" s="4"/>
      <c r="AS29" s="5"/>
      <c r="AT29" s="3"/>
      <c r="AU29" s="3"/>
      <c r="BA29" s="4"/>
      <c r="BC29" s="5"/>
      <c r="BD29" s="3"/>
      <c r="BE29" s="3"/>
    </row>
    <row r="30" spans="2:57" x14ac:dyDescent="0.25">
      <c r="B30" s="4">
        <v>46046</v>
      </c>
      <c r="C30" t="s">
        <v>6</v>
      </c>
      <c r="D30" s="5">
        <v>1</v>
      </c>
      <c r="E30" s="17"/>
      <c r="F30" s="17"/>
      <c r="G30">
        <f t="shared" si="0"/>
        <v>650</v>
      </c>
      <c r="N30" s="4"/>
      <c r="P30" s="5"/>
      <c r="Q30" s="3"/>
      <c r="R30" s="3"/>
      <c r="W30" s="4"/>
      <c r="Y30" s="5"/>
      <c r="Z30" s="3"/>
      <c r="AA30" s="3"/>
      <c r="AH30" s="4"/>
      <c r="AJ30" s="5"/>
      <c r="AK30" s="3"/>
      <c r="AL30" s="3"/>
      <c r="AQ30" s="4"/>
      <c r="AS30" s="5"/>
      <c r="AT30" s="3"/>
      <c r="AU30" s="3"/>
      <c r="BA30" s="4"/>
      <c r="BC30" s="5"/>
      <c r="BD30" s="3"/>
      <c r="BE30" s="3"/>
    </row>
    <row r="31" spans="2:57" x14ac:dyDescent="0.25">
      <c r="B31" s="4">
        <v>46047</v>
      </c>
      <c r="C31" t="s">
        <v>7</v>
      </c>
      <c r="D31" s="5">
        <v>1</v>
      </c>
      <c r="E31" s="17">
        <v>4</v>
      </c>
      <c r="F31" s="17"/>
      <c r="G31">
        <f t="shared" si="0"/>
        <v>975</v>
      </c>
      <c r="N31" s="4"/>
      <c r="P31" s="5"/>
      <c r="Q31" s="3"/>
      <c r="R31" s="3"/>
      <c r="W31" s="4"/>
      <c r="Y31" s="5"/>
      <c r="Z31" s="3"/>
      <c r="AA31" s="3"/>
      <c r="AH31" s="4"/>
      <c r="AJ31" s="5"/>
      <c r="AK31" s="3"/>
      <c r="AL31" s="3"/>
      <c r="AQ31" s="4"/>
      <c r="AS31" s="5"/>
      <c r="AT31" s="3"/>
      <c r="AU31" s="3"/>
      <c r="BA31" s="4"/>
      <c r="BC31" s="5"/>
      <c r="BD31" s="3"/>
      <c r="BE31" s="3"/>
    </row>
    <row r="32" spans="2:57" x14ac:dyDescent="0.25">
      <c r="B32" s="4">
        <v>46048</v>
      </c>
      <c r="C32" t="s">
        <v>8</v>
      </c>
      <c r="D32" s="5">
        <v>1</v>
      </c>
      <c r="E32" s="17">
        <v>4</v>
      </c>
      <c r="F32" s="17"/>
      <c r="G32">
        <f t="shared" si="0"/>
        <v>975</v>
      </c>
      <c r="N32" s="4"/>
      <c r="P32" s="5"/>
      <c r="Q32" s="3"/>
      <c r="R32" s="3"/>
      <c r="W32" s="4"/>
      <c r="Y32" s="5"/>
      <c r="Z32" s="3"/>
      <c r="AA32" s="3"/>
      <c r="AH32" s="4"/>
      <c r="AJ32" s="5"/>
      <c r="AK32" s="3"/>
      <c r="AL32" s="3"/>
      <c r="AQ32" s="4"/>
      <c r="AS32" s="5"/>
      <c r="AT32" s="3"/>
      <c r="AU32" s="3"/>
      <c r="BA32" s="4"/>
      <c r="BC32" s="5"/>
      <c r="BD32" s="3"/>
      <c r="BE32" s="3"/>
    </row>
    <row r="33" spans="2:57" x14ac:dyDescent="0.25">
      <c r="B33" s="4">
        <v>46049</v>
      </c>
      <c r="C33" t="s">
        <v>9</v>
      </c>
      <c r="D33" s="5">
        <v>1</v>
      </c>
      <c r="E33" s="17">
        <v>4</v>
      </c>
      <c r="F33" s="17"/>
      <c r="G33">
        <f t="shared" si="0"/>
        <v>975</v>
      </c>
      <c r="N33" s="4"/>
      <c r="P33" s="5"/>
      <c r="Q33" s="3"/>
      <c r="R33" s="3"/>
      <c r="W33" s="4"/>
      <c r="Y33" s="5"/>
      <c r="Z33" s="3"/>
      <c r="AA33" s="3"/>
      <c r="AH33" s="4"/>
      <c r="AJ33" s="5"/>
      <c r="AK33" s="3"/>
      <c r="AL33" s="3"/>
      <c r="AQ33" s="4"/>
      <c r="AS33" s="5"/>
      <c r="AT33" s="3"/>
      <c r="AU33" s="3"/>
      <c r="BA33" s="4"/>
      <c r="BC33" s="5"/>
      <c r="BD33" s="3"/>
      <c r="BE33" s="3"/>
    </row>
    <row r="34" spans="2:57" x14ac:dyDescent="0.25">
      <c r="B34" s="4">
        <v>46050</v>
      </c>
      <c r="C34" t="s">
        <v>10</v>
      </c>
      <c r="D34" s="5">
        <v>1</v>
      </c>
      <c r="E34" s="17">
        <v>4</v>
      </c>
      <c r="F34" s="17"/>
      <c r="G34">
        <f t="shared" si="0"/>
        <v>975</v>
      </c>
      <c r="N34" s="4"/>
      <c r="P34" s="5"/>
      <c r="Q34" s="3"/>
      <c r="R34" s="3"/>
      <c r="W34" s="4"/>
      <c r="Y34" s="5"/>
      <c r="Z34" s="3"/>
      <c r="AA34" s="3"/>
      <c r="AH34" s="4"/>
      <c r="AJ34" s="5"/>
      <c r="AK34" s="3"/>
      <c r="AL34" s="3"/>
      <c r="AQ34" s="4"/>
      <c r="AS34" s="5"/>
      <c r="AT34" s="3"/>
      <c r="AU34" s="3"/>
      <c r="BA34" s="4"/>
      <c r="BC34" s="5"/>
      <c r="BD34" s="3"/>
      <c r="BE34" s="3"/>
    </row>
    <row r="35" spans="2:57" x14ac:dyDescent="0.25">
      <c r="B35" s="4">
        <v>46051</v>
      </c>
      <c r="C35" t="s">
        <v>11</v>
      </c>
      <c r="D35" s="5">
        <v>1</v>
      </c>
      <c r="E35" s="17">
        <v>4</v>
      </c>
      <c r="F35" s="17"/>
      <c r="G35">
        <f t="shared" si="0"/>
        <v>975</v>
      </c>
      <c r="N35" s="4"/>
      <c r="P35" s="5"/>
      <c r="Q35" s="3"/>
      <c r="R35" s="3"/>
      <c r="W35" s="4"/>
      <c r="Y35" s="5"/>
      <c r="Z35" s="3"/>
      <c r="AA35" s="3"/>
      <c r="AH35" s="4"/>
      <c r="AJ35" s="5"/>
      <c r="AK35" s="3"/>
      <c r="AL35" s="3"/>
      <c r="AQ35" s="4"/>
      <c r="AS35" s="5"/>
      <c r="AT35" s="3"/>
      <c r="AU35" s="3"/>
      <c r="BA35" s="4"/>
      <c r="BC35" s="5"/>
      <c r="BD35" s="3"/>
      <c r="BE35" s="3"/>
    </row>
    <row r="36" spans="2:57" x14ac:dyDescent="0.25">
      <c r="B36" s="4">
        <v>46052</v>
      </c>
      <c r="C36" t="s">
        <v>12</v>
      </c>
      <c r="D36" s="5">
        <v>0</v>
      </c>
      <c r="E36" s="17"/>
      <c r="F36" s="17"/>
      <c r="G36">
        <f t="shared" si="0"/>
        <v>0</v>
      </c>
      <c r="N36" s="4"/>
      <c r="P36" s="5"/>
      <c r="Q36" s="3"/>
      <c r="R36" s="3"/>
      <c r="W36" s="4"/>
      <c r="Y36" s="5"/>
      <c r="Z36" s="3"/>
      <c r="AA36" s="3"/>
      <c r="AH36" s="4"/>
      <c r="AJ36" s="5"/>
      <c r="AK36" s="3"/>
      <c r="AL36" s="3"/>
      <c r="AQ36" s="4"/>
      <c r="AS36" s="5"/>
      <c r="AT36" s="3"/>
      <c r="AU36" s="3"/>
      <c r="BA36" s="4"/>
      <c r="BC36" s="5"/>
      <c r="BD36" s="3"/>
      <c r="BE36" s="3"/>
    </row>
    <row r="37" spans="2:57" x14ac:dyDescent="0.25">
      <c r="B37" s="4">
        <v>46053</v>
      </c>
      <c r="C37" t="s">
        <v>6</v>
      </c>
      <c r="D37" s="5">
        <v>0</v>
      </c>
      <c r="E37" s="17"/>
      <c r="F37" s="17">
        <v>4400</v>
      </c>
      <c r="G37">
        <f t="shared" si="0"/>
        <v>0</v>
      </c>
      <c r="N37" s="4"/>
      <c r="P37" s="5"/>
      <c r="Q37" s="13"/>
      <c r="R37" s="13"/>
      <c r="W37" s="4"/>
      <c r="Y37" s="5"/>
      <c r="Z37" s="13"/>
      <c r="AA37" s="13"/>
      <c r="AH37" s="4"/>
      <c r="AJ37" s="5"/>
      <c r="AK37" s="13"/>
      <c r="AL37" s="13"/>
      <c r="AQ37" s="4"/>
      <c r="AS37" s="5"/>
      <c r="AT37" s="13"/>
      <c r="AU37" s="13"/>
      <c r="BA37" s="4"/>
      <c r="BC37" s="5"/>
      <c r="BD37" s="13"/>
      <c r="BE37" s="13"/>
    </row>
    <row r="38" spans="2:57" x14ac:dyDescent="0.25">
      <c r="B38" s="1"/>
      <c r="D38" s="5">
        <f>SUM(D7:D37)</f>
        <v>24</v>
      </c>
      <c r="E38" s="3">
        <f>SUM(E7:E37)</f>
        <v>74</v>
      </c>
      <c r="F38" s="3">
        <f>SUM(F7:F37)</f>
        <v>11350</v>
      </c>
      <c r="G38">
        <f>SUM(G7:G37)</f>
        <v>21612.5</v>
      </c>
    </row>
    <row r="39" spans="2:57" x14ac:dyDescent="0.25">
      <c r="B39" s="1"/>
      <c r="G39">
        <f>G38-F38</f>
        <v>10262.5</v>
      </c>
    </row>
  </sheetData>
  <mergeCells count="12">
    <mergeCell ref="AZ4:BE4"/>
    <mergeCell ref="A2:F2"/>
    <mergeCell ref="M2:R2"/>
    <mergeCell ref="V2:AA2"/>
    <mergeCell ref="AG2:AL2"/>
    <mergeCell ref="AP2:AU2"/>
    <mergeCell ref="AZ2:BE2"/>
    <mergeCell ref="A4:F4"/>
    <mergeCell ref="M4:R4"/>
    <mergeCell ref="V4:AA4"/>
    <mergeCell ref="AG4:AL4"/>
    <mergeCell ref="AP4:AU4"/>
  </mergeCells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8409-BF97-47E7-AB13-5B05C7ABA362}">
  <dimension ref="A2:BE39"/>
  <sheetViews>
    <sheetView zoomScale="85" zoomScaleNormal="85" workbookViewId="0">
      <selection activeCell="I31" sqref="I31"/>
    </sheetView>
  </sheetViews>
  <sheetFormatPr defaultRowHeight="15" x14ac:dyDescent="0.25"/>
  <cols>
    <col min="1" max="2" width="16.85546875" customWidth="1"/>
    <col min="3" max="3" width="14" customWidth="1"/>
    <col min="4" max="4" width="19.85546875" style="5" customWidth="1"/>
    <col min="5" max="5" width="17" style="2" customWidth="1"/>
    <col min="6" max="6" width="13.28515625" style="2" customWidth="1"/>
    <col min="9" max="9" width="18.42578125" customWidth="1"/>
    <col min="12" max="12" width="9.140625" customWidth="1"/>
    <col min="13" max="13" width="15" customWidth="1"/>
    <col min="14" max="14" width="14.28515625" customWidth="1"/>
    <col min="15" max="15" width="13.85546875" customWidth="1"/>
    <col min="16" max="16" width="14.5703125" customWidth="1"/>
    <col min="17" max="17" width="11.42578125" customWidth="1"/>
    <col min="21" max="21" width="9.140625" customWidth="1"/>
    <col min="22" max="22" width="7" customWidth="1"/>
    <col min="23" max="23" width="13.5703125" customWidth="1"/>
    <col min="24" max="24" width="12.28515625" customWidth="1"/>
    <col min="34" max="34" width="15.7109375" customWidth="1"/>
    <col min="35" max="35" width="14.42578125" customWidth="1"/>
    <col min="43" max="43" width="17" customWidth="1"/>
    <col min="44" max="44" width="13.5703125" customWidth="1"/>
    <col min="45" max="45" width="12.140625" customWidth="1"/>
    <col min="46" max="46" width="13.5703125" customWidth="1"/>
    <col min="53" max="53" width="14.28515625" customWidth="1"/>
    <col min="54" max="54" width="14" customWidth="1"/>
    <col min="55" max="55" width="11.140625" customWidth="1"/>
    <col min="56" max="56" width="12.7109375" customWidth="1"/>
  </cols>
  <sheetData>
    <row r="2" spans="1:57" x14ac:dyDescent="0.25">
      <c r="A2" s="22" t="s">
        <v>27</v>
      </c>
      <c r="B2" s="22"/>
      <c r="C2" s="22"/>
      <c r="D2" s="22"/>
      <c r="E2" s="22"/>
      <c r="F2" s="22"/>
      <c r="M2" s="22"/>
      <c r="N2" s="22"/>
      <c r="O2" s="22"/>
      <c r="P2" s="22"/>
      <c r="Q2" s="22"/>
      <c r="R2" s="22"/>
      <c r="V2" s="22"/>
      <c r="W2" s="22"/>
      <c r="X2" s="22"/>
      <c r="Y2" s="22"/>
      <c r="Z2" s="22"/>
      <c r="AA2" s="22"/>
      <c r="AG2" s="22"/>
      <c r="AH2" s="22"/>
      <c r="AI2" s="22"/>
      <c r="AJ2" s="22"/>
      <c r="AK2" s="22"/>
      <c r="AL2" s="22"/>
      <c r="AP2" s="22"/>
      <c r="AQ2" s="22"/>
      <c r="AR2" s="22"/>
      <c r="AS2" s="22"/>
      <c r="AT2" s="22"/>
      <c r="AU2" s="22"/>
      <c r="AZ2" s="22"/>
      <c r="BA2" s="22"/>
      <c r="BB2" s="22"/>
      <c r="BC2" s="22"/>
      <c r="BD2" s="22"/>
      <c r="BE2" s="22"/>
    </row>
    <row r="3" spans="1:57" x14ac:dyDescent="0.25">
      <c r="P3" s="5"/>
      <c r="Q3" s="2"/>
      <c r="R3" s="2"/>
      <c r="Y3" s="5"/>
      <c r="Z3" s="2"/>
      <c r="AA3" s="2"/>
      <c r="AJ3" s="5"/>
      <c r="AK3" s="2"/>
      <c r="AL3" s="2"/>
      <c r="AS3" s="5"/>
      <c r="AT3" s="2"/>
      <c r="AU3" s="2"/>
      <c r="BC3" s="5"/>
      <c r="BD3" s="2"/>
      <c r="BE3" s="2"/>
    </row>
    <row r="4" spans="1:57" x14ac:dyDescent="0.25">
      <c r="A4" s="21" t="s">
        <v>5</v>
      </c>
      <c r="B4" s="21"/>
      <c r="C4" s="21"/>
      <c r="D4" s="21"/>
      <c r="E4" s="21"/>
      <c r="F4" s="21"/>
      <c r="M4" s="21"/>
      <c r="N4" s="21"/>
      <c r="O4" s="21"/>
      <c r="P4" s="21"/>
      <c r="Q4" s="21"/>
      <c r="R4" s="21"/>
      <c r="V4" s="23"/>
      <c r="W4" s="23"/>
      <c r="X4" s="23"/>
      <c r="Y4" s="23"/>
      <c r="Z4" s="23"/>
      <c r="AA4" s="23"/>
      <c r="AG4" s="21"/>
      <c r="AH4" s="21"/>
      <c r="AI4" s="21"/>
      <c r="AJ4" s="21"/>
      <c r="AK4" s="21"/>
      <c r="AL4" s="21"/>
      <c r="AP4" s="21"/>
      <c r="AQ4" s="21"/>
      <c r="AR4" s="21"/>
      <c r="AS4" s="21"/>
      <c r="AT4" s="21"/>
      <c r="AU4" s="21"/>
      <c r="AZ4" s="21"/>
      <c r="BA4" s="21"/>
      <c r="BB4" s="21"/>
      <c r="BC4" s="21"/>
      <c r="BD4" s="21"/>
      <c r="BE4" s="21"/>
    </row>
    <row r="5" spans="1:57" x14ac:dyDescent="0.25">
      <c r="P5" s="5"/>
      <c r="Q5" s="2"/>
      <c r="R5" s="2"/>
      <c r="Y5" s="5"/>
      <c r="Z5" s="2"/>
      <c r="AA5" s="2"/>
      <c r="AG5" s="6"/>
      <c r="AH5" s="6"/>
      <c r="AI5" s="6"/>
      <c r="AJ5" s="7"/>
      <c r="AK5" s="8"/>
      <c r="AL5" s="8"/>
      <c r="AS5" s="5"/>
      <c r="AT5" s="2"/>
      <c r="AU5" s="2"/>
      <c r="BC5" s="5"/>
      <c r="BD5" s="2"/>
      <c r="BE5" s="2"/>
    </row>
    <row r="6" spans="1:57" x14ac:dyDescent="0.25">
      <c r="B6" t="s">
        <v>0</v>
      </c>
      <c r="C6" t="s">
        <v>1</v>
      </c>
      <c r="D6" s="5" t="s">
        <v>2</v>
      </c>
      <c r="E6" s="2" t="s">
        <v>3</v>
      </c>
      <c r="F6" s="2" t="s">
        <v>4</v>
      </c>
      <c r="G6" t="s">
        <v>14</v>
      </c>
      <c r="I6" t="s">
        <v>19</v>
      </c>
      <c r="P6" s="5"/>
      <c r="Q6" s="2"/>
      <c r="R6" s="2"/>
      <c r="Y6" s="5"/>
      <c r="Z6" s="2"/>
      <c r="AA6" s="2"/>
      <c r="AJ6" s="5"/>
      <c r="AK6" s="2"/>
      <c r="AL6" s="2"/>
      <c r="AS6" s="5"/>
      <c r="AT6" s="2"/>
      <c r="AU6" s="2"/>
      <c r="BC6" s="5"/>
      <c r="BD6" s="2"/>
      <c r="BE6" s="2"/>
    </row>
    <row r="7" spans="1:57" x14ac:dyDescent="0.25">
      <c r="B7" s="4">
        <v>45992</v>
      </c>
      <c r="C7" t="s">
        <v>9</v>
      </c>
      <c r="D7" s="5">
        <v>1</v>
      </c>
      <c r="E7" s="2">
        <v>4</v>
      </c>
      <c r="F7" s="2">
        <v>600</v>
      </c>
      <c r="G7">
        <f>(D7*8+E7)*75</f>
        <v>900</v>
      </c>
      <c r="N7" s="4"/>
      <c r="P7" s="5"/>
      <c r="Q7" s="2"/>
      <c r="R7" s="2"/>
      <c r="W7" s="4"/>
      <c r="Y7" s="5"/>
      <c r="Z7" s="2"/>
      <c r="AA7" s="2"/>
      <c r="AH7" s="4"/>
      <c r="AJ7" s="5"/>
      <c r="AK7" s="2"/>
      <c r="AL7" s="2"/>
      <c r="AQ7" s="4"/>
      <c r="AS7" s="5"/>
      <c r="AT7" s="2"/>
      <c r="AU7" s="2"/>
      <c r="BA7" s="4"/>
      <c r="BC7" s="5"/>
      <c r="BD7" s="2"/>
      <c r="BE7" s="2"/>
    </row>
    <row r="8" spans="1:57" x14ac:dyDescent="0.25">
      <c r="B8" s="4">
        <v>45993</v>
      </c>
      <c r="C8" t="s">
        <v>10</v>
      </c>
      <c r="D8" s="5">
        <v>1</v>
      </c>
      <c r="E8" s="13">
        <v>4</v>
      </c>
      <c r="F8" s="13">
        <v>200</v>
      </c>
      <c r="G8">
        <f t="shared" ref="G8:G37" si="0">(D8*8+E8)*75</f>
        <v>900</v>
      </c>
      <c r="N8" s="4"/>
      <c r="P8" s="5"/>
      <c r="Q8" s="2"/>
      <c r="R8" s="2"/>
      <c r="W8" s="4"/>
      <c r="Y8" s="5"/>
      <c r="Z8" s="2"/>
      <c r="AA8" s="2"/>
      <c r="AH8" s="4"/>
      <c r="AJ8" s="5"/>
      <c r="AK8" s="2"/>
      <c r="AL8" s="2"/>
      <c r="AQ8" s="4"/>
      <c r="AS8" s="5"/>
      <c r="AT8" s="2"/>
      <c r="AU8" s="2"/>
      <c r="BA8" s="4"/>
      <c r="BC8" s="5"/>
      <c r="BD8" s="2"/>
      <c r="BE8" s="2"/>
    </row>
    <row r="9" spans="1:57" x14ac:dyDescent="0.25">
      <c r="B9" s="4">
        <v>45994</v>
      </c>
      <c r="C9" t="s">
        <v>11</v>
      </c>
      <c r="D9" s="5">
        <v>0</v>
      </c>
      <c r="E9" s="13"/>
      <c r="F9" s="13">
        <v>2000</v>
      </c>
      <c r="G9">
        <f t="shared" si="0"/>
        <v>0</v>
      </c>
      <c r="N9" s="4"/>
      <c r="P9" s="5"/>
      <c r="Q9" s="2"/>
      <c r="R9" s="2"/>
      <c r="W9" s="4"/>
      <c r="Y9" s="5"/>
      <c r="Z9" s="2"/>
      <c r="AA9" s="2"/>
      <c r="AH9" s="4"/>
      <c r="AJ9" s="5"/>
      <c r="AK9" s="2"/>
      <c r="AL9" s="2"/>
      <c r="AQ9" s="4"/>
      <c r="AS9" s="5"/>
      <c r="AT9" s="2"/>
      <c r="AU9" s="2"/>
      <c r="BA9" s="4"/>
      <c r="BC9" s="5"/>
      <c r="BD9" s="2"/>
      <c r="BE9" s="2"/>
    </row>
    <row r="10" spans="1:57" x14ac:dyDescent="0.25">
      <c r="B10" s="4">
        <v>45995</v>
      </c>
      <c r="C10" t="s">
        <v>12</v>
      </c>
      <c r="D10" s="5">
        <v>1</v>
      </c>
      <c r="E10" s="13"/>
      <c r="F10" s="13"/>
      <c r="G10">
        <f t="shared" si="0"/>
        <v>600</v>
      </c>
      <c r="N10" s="4"/>
      <c r="P10" s="5"/>
      <c r="Q10" s="2"/>
      <c r="R10" s="2"/>
      <c r="W10" s="4"/>
      <c r="Y10" s="5"/>
      <c r="Z10" s="2"/>
      <c r="AA10" s="2"/>
      <c r="AH10" s="4"/>
      <c r="AJ10" s="5"/>
      <c r="AK10" s="2"/>
      <c r="AL10" s="2"/>
      <c r="AQ10" s="4"/>
      <c r="AS10" s="5"/>
      <c r="AT10" s="2"/>
      <c r="AU10" s="2"/>
      <c r="BA10" s="4"/>
      <c r="BC10" s="5"/>
      <c r="BD10" s="2"/>
      <c r="BE10" s="2"/>
    </row>
    <row r="11" spans="1:57" x14ac:dyDescent="0.25">
      <c r="B11" s="4">
        <v>45996</v>
      </c>
      <c r="C11" t="s">
        <v>6</v>
      </c>
      <c r="D11" s="5">
        <v>1</v>
      </c>
      <c r="E11" s="13"/>
      <c r="F11" s="13">
        <v>200</v>
      </c>
      <c r="G11">
        <f t="shared" si="0"/>
        <v>600</v>
      </c>
      <c r="N11" s="4"/>
      <c r="P11" s="5"/>
      <c r="Q11" s="2"/>
      <c r="R11" s="2"/>
      <c r="W11" s="4"/>
      <c r="Y11" s="5"/>
      <c r="Z11" s="2"/>
      <c r="AA11" s="2"/>
      <c r="AH11" s="4"/>
      <c r="AJ11" s="5"/>
      <c r="AK11" s="2"/>
      <c r="AL11" s="2"/>
      <c r="AQ11" s="4"/>
      <c r="AS11" s="5"/>
      <c r="AT11" s="2"/>
      <c r="AU11" s="2"/>
      <c r="BA11" s="4"/>
      <c r="BC11" s="5"/>
      <c r="BD11" s="2"/>
      <c r="BE11" s="2"/>
    </row>
    <row r="12" spans="1:57" x14ac:dyDescent="0.25">
      <c r="B12" s="4">
        <v>45997</v>
      </c>
      <c r="C12" t="s">
        <v>7</v>
      </c>
      <c r="D12" s="5">
        <v>1</v>
      </c>
      <c r="E12" s="13">
        <v>5</v>
      </c>
      <c r="F12" s="15">
        <v>200</v>
      </c>
      <c r="G12">
        <f t="shared" si="0"/>
        <v>975</v>
      </c>
      <c r="N12" s="4"/>
      <c r="P12" s="5"/>
      <c r="Q12" s="2"/>
      <c r="R12" s="2"/>
      <c r="W12" s="4"/>
      <c r="Y12" s="5"/>
      <c r="Z12" s="2"/>
      <c r="AA12" s="2"/>
      <c r="AH12" s="4"/>
      <c r="AJ12" s="5"/>
      <c r="AK12" s="2"/>
      <c r="AL12" s="2"/>
      <c r="AQ12" s="4"/>
      <c r="AS12" s="5"/>
      <c r="AT12" s="2"/>
      <c r="AU12" s="2"/>
      <c r="BA12" s="4"/>
      <c r="BC12" s="5"/>
      <c r="BD12" s="2"/>
      <c r="BE12" s="2"/>
    </row>
    <row r="13" spans="1:57" x14ac:dyDescent="0.25">
      <c r="B13" s="4">
        <v>45998</v>
      </c>
      <c r="C13" t="s">
        <v>8</v>
      </c>
      <c r="D13" s="5">
        <v>1</v>
      </c>
      <c r="E13" s="13">
        <v>2</v>
      </c>
      <c r="F13" s="15"/>
      <c r="G13">
        <f t="shared" si="0"/>
        <v>750</v>
      </c>
      <c r="N13" s="4"/>
      <c r="P13" s="5"/>
      <c r="Q13" s="2"/>
      <c r="R13" s="2"/>
      <c r="W13" s="4"/>
      <c r="Y13" s="5"/>
      <c r="Z13" s="2"/>
      <c r="AA13" s="2"/>
      <c r="AH13" s="4"/>
      <c r="AJ13" s="5"/>
      <c r="AK13" s="2"/>
      <c r="AL13" s="2"/>
      <c r="AQ13" s="4"/>
      <c r="AS13" s="5"/>
      <c r="AT13" s="2"/>
      <c r="AU13" s="2"/>
      <c r="BA13" s="4"/>
      <c r="BC13" s="5"/>
      <c r="BD13" s="2"/>
      <c r="BE13" s="2"/>
    </row>
    <row r="14" spans="1:57" x14ac:dyDescent="0.25">
      <c r="B14" s="4">
        <v>45999</v>
      </c>
      <c r="C14" t="s">
        <v>9</v>
      </c>
      <c r="D14" s="5">
        <v>1</v>
      </c>
      <c r="E14" s="13">
        <v>4</v>
      </c>
      <c r="F14" s="15"/>
      <c r="G14">
        <f t="shared" si="0"/>
        <v>900</v>
      </c>
      <c r="N14" s="4"/>
      <c r="P14" s="5"/>
      <c r="Q14" s="2"/>
      <c r="R14" s="2"/>
      <c r="W14" s="4"/>
      <c r="Y14" s="5"/>
      <c r="Z14" s="2"/>
      <c r="AA14" s="2"/>
      <c r="AH14" s="4"/>
      <c r="AJ14" s="5"/>
      <c r="AK14" s="2"/>
      <c r="AL14" s="2"/>
      <c r="AQ14" s="4"/>
      <c r="AS14" s="5"/>
      <c r="AT14" s="2"/>
      <c r="AU14" s="2"/>
      <c r="BA14" s="4"/>
      <c r="BC14" s="5"/>
      <c r="BD14" s="2"/>
      <c r="BE14" s="2"/>
    </row>
    <row r="15" spans="1:57" x14ac:dyDescent="0.25">
      <c r="B15" s="4">
        <v>46000</v>
      </c>
      <c r="C15" t="s">
        <v>10</v>
      </c>
      <c r="D15" s="5">
        <v>1</v>
      </c>
      <c r="E15" s="13">
        <v>5</v>
      </c>
      <c r="F15" s="15"/>
      <c r="G15">
        <f t="shared" si="0"/>
        <v>975</v>
      </c>
      <c r="N15" s="4"/>
      <c r="P15" s="5"/>
      <c r="Q15" s="2"/>
      <c r="R15" s="2"/>
      <c r="W15" s="4"/>
      <c r="Y15" s="5"/>
      <c r="Z15" s="2"/>
      <c r="AA15" s="2"/>
      <c r="AH15" s="4"/>
      <c r="AJ15" s="5"/>
      <c r="AK15" s="2"/>
      <c r="AL15" s="2"/>
      <c r="AQ15" s="4"/>
      <c r="AS15" s="5"/>
      <c r="AT15" s="2"/>
      <c r="AU15" s="2"/>
      <c r="BA15" s="4"/>
      <c r="BC15" s="5"/>
      <c r="BD15" s="2"/>
      <c r="BE15" s="2"/>
    </row>
    <row r="16" spans="1:57" x14ac:dyDescent="0.25">
      <c r="B16" s="4">
        <v>46001</v>
      </c>
      <c r="C16" t="s">
        <v>11</v>
      </c>
      <c r="D16" s="5">
        <v>0</v>
      </c>
      <c r="E16" s="13">
        <v>7</v>
      </c>
      <c r="F16" s="15">
        <v>300</v>
      </c>
      <c r="G16">
        <f t="shared" si="0"/>
        <v>525</v>
      </c>
      <c r="N16" s="4"/>
      <c r="P16" s="5"/>
      <c r="Q16" s="2"/>
      <c r="R16" s="2"/>
      <c r="W16" s="4"/>
      <c r="Y16" s="5"/>
      <c r="Z16" s="2"/>
      <c r="AA16" s="2"/>
      <c r="AH16" s="4"/>
      <c r="AJ16" s="5"/>
      <c r="AK16" s="2"/>
      <c r="AL16" s="2"/>
      <c r="AQ16" s="4"/>
      <c r="AS16" s="5"/>
      <c r="AT16" s="2"/>
      <c r="AU16" s="2"/>
      <c r="BA16" s="4"/>
      <c r="BC16" s="5"/>
      <c r="BD16" s="2"/>
      <c r="BE16" s="2"/>
    </row>
    <row r="17" spans="2:57" x14ac:dyDescent="0.25">
      <c r="B17" s="4">
        <v>46002</v>
      </c>
      <c r="C17" t="s">
        <v>12</v>
      </c>
      <c r="D17" s="5">
        <v>1</v>
      </c>
      <c r="E17" s="13">
        <v>5</v>
      </c>
      <c r="F17" s="15">
        <v>350</v>
      </c>
      <c r="G17">
        <f t="shared" si="0"/>
        <v>975</v>
      </c>
      <c r="N17" s="4"/>
      <c r="P17" s="5"/>
      <c r="Q17" s="2"/>
      <c r="R17" s="2"/>
      <c r="W17" s="4"/>
      <c r="Y17" s="5"/>
      <c r="Z17" s="2"/>
      <c r="AA17" s="2"/>
      <c r="AH17" s="4"/>
      <c r="AJ17" s="5"/>
      <c r="AK17" s="2"/>
      <c r="AL17" s="2"/>
      <c r="AQ17" s="4"/>
      <c r="AS17" s="5"/>
      <c r="AT17" s="2"/>
      <c r="AU17" s="2"/>
      <c r="BA17" s="4"/>
      <c r="BC17" s="5"/>
      <c r="BD17" s="2"/>
      <c r="BE17" s="2"/>
    </row>
    <row r="18" spans="2:57" x14ac:dyDescent="0.25">
      <c r="B18" s="4">
        <v>46003</v>
      </c>
      <c r="C18" t="s">
        <v>6</v>
      </c>
      <c r="D18" s="5">
        <v>1</v>
      </c>
      <c r="E18" s="13">
        <v>5</v>
      </c>
      <c r="F18" s="15">
        <v>100</v>
      </c>
      <c r="G18">
        <f t="shared" si="0"/>
        <v>975</v>
      </c>
      <c r="N18" s="4"/>
      <c r="P18" s="5"/>
      <c r="Q18" s="2"/>
      <c r="R18" s="2"/>
      <c r="W18" s="4"/>
      <c r="Y18" s="5"/>
      <c r="Z18" s="2"/>
      <c r="AA18" s="2"/>
      <c r="AH18" s="4"/>
      <c r="AJ18" s="5"/>
      <c r="AK18" s="2"/>
      <c r="AL18" s="2"/>
      <c r="AQ18" s="4"/>
      <c r="AS18" s="5"/>
      <c r="AT18" s="2"/>
      <c r="AU18" s="2"/>
      <c r="BA18" s="4"/>
      <c r="BC18" s="5"/>
      <c r="BD18" s="2"/>
      <c r="BE18" s="2"/>
    </row>
    <row r="19" spans="2:57" x14ac:dyDescent="0.25">
      <c r="B19" s="4">
        <v>46004</v>
      </c>
      <c r="C19" t="s">
        <v>7</v>
      </c>
      <c r="D19" s="5">
        <v>1</v>
      </c>
      <c r="E19" s="13">
        <v>3</v>
      </c>
      <c r="F19" s="15">
        <v>5900</v>
      </c>
      <c r="G19">
        <f t="shared" si="0"/>
        <v>825</v>
      </c>
      <c r="I19" t="s">
        <v>28</v>
      </c>
      <c r="N19" s="4"/>
      <c r="P19" s="5"/>
      <c r="Q19" s="2"/>
      <c r="R19" s="2"/>
      <c r="W19" s="4"/>
      <c r="Y19" s="5"/>
      <c r="Z19" s="2"/>
      <c r="AA19" s="2"/>
      <c r="AH19" s="4"/>
      <c r="AJ19" s="5"/>
      <c r="AK19" s="2"/>
      <c r="AL19" s="2"/>
      <c r="AQ19" s="4"/>
      <c r="AS19" s="5"/>
      <c r="AT19" s="2"/>
      <c r="AU19" s="2"/>
      <c r="BA19" s="4"/>
      <c r="BC19" s="5"/>
      <c r="BD19" s="2"/>
      <c r="BE19" s="2"/>
    </row>
    <row r="20" spans="2:57" x14ac:dyDescent="0.25">
      <c r="B20" s="4">
        <v>46005</v>
      </c>
      <c r="C20" t="s">
        <v>8</v>
      </c>
      <c r="D20" s="5">
        <v>1</v>
      </c>
      <c r="E20" s="13">
        <v>4</v>
      </c>
      <c r="F20" s="15">
        <v>200</v>
      </c>
      <c r="G20">
        <f t="shared" si="0"/>
        <v>900</v>
      </c>
      <c r="N20" s="4"/>
      <c r="P20" s="5"/>
      <c r="Q20" s="2"/>
      <c r="R20" s="2"/>
      <c r="W20" s="4"/>
      <c r="Y20" s="5"/>
      <c r="Z20" s="2"/>
      <c r="AA20" s="2"/>
      <c r="AH20" s="4"/>
      <c r="AJ20" s="5"/>
      <c r="AK20" s="2"/>
      <c r="AL20" s="2"/>
      <c r="AQ20" s="4"/>
      <c r="AS20" s="5"/>
      <c r="AT20" s="2"/>
      <c r="AU20" s="2"/>
      <c r="BA20" s="4"/>
      <c r="BC20" s="5"/>
      <c r="BD20" s="2"/>
      <c r="BE20" s="2"/>
    </row>
    <row r="21" spans="2:57" x14ac:dyDescent="0.25">
      <c r="B21" s="4">
        <v>46006</v>
      </c>
      <c r="C21" t="s">
        <v>9</v>
      </c>
      <c r="D21" s="5">
        <v>1</v>
      </c>
      <c r="E21" s="13">
        <v>3</v>
      </c>
      <c r="F21" s="15">
        <v>2000</v>
      </c>
      <c r="G21">
        <f t="shared" si="0"/>
        <v>825</v>
      </c>
      <c r="N21" s="4"/>
      <c r="P21" s="5"/>
      <c r="Q21" s="2"/>
      <c r="R21" s="2"/>
      <c r="W21" s="4"/>
      <c r="Y21" s="5"/>
      <c r="Z21" s="2"/>
      <c r="AA21" s="2"/>
      <c r="AH21" s="4"/>
      <c r="AJ21" s="5"/>
      <c r="AK21" s="2"/>
      <c r="AL21" s="2"/>
      <c r="AQ21" s="4"/>
      <c r="AS21" s="5"/>
      <c r="AT21" s="2"/>
      <c r="AU21" s="2"/>
      <c r="BA21" s="4"/>
      <c r="BC21" s="5"/>
      <c r="BD21" s="2"/>
      <c r="BE21" s="2"/>
    </row>
    <row r="22" spans="2:57" x14ac:dyDescent="0.25">
      <c r="B22" s="4">
        <v>46007</v>
      </c>
      <c r="C22" t="s">
        <v>10</v>
      </c>
      <c r="D22" s="5">
        <v>1</v>
      </c>
      <c r="E22" s="13">
        <v>2</v>
      </c>
      <c r="F22" s="15"/>
      <c r="G22">
        <f t="shared" si="0"/>
        <v>750</v>
      </c>
      <c r="N22" s="4"/>
      <c r="P22" s="5"/>
      <c r="Q22" s="2"/>
      <c r="R22" s="2"/>
      <c r="W22" s="4"/>
      <c r="Y22" s="5"/>
      <c r="Z22" s="2"/>
      <c r="AA22" s="2"/>
      <c r="AH22" s="4"/>
      <c r="AJ22" s="5"/>
      <c r="AK22" s="2"/>
      <c r="AL22" s="2"/>
      <c r="AQ22" s="4"/>
      <c r="AS22" s="5"/>
      <c r="AT22" s="2"/>
      <c r="AU22" s="2"/>
      <c r="BA22" s="4"/>
      <c r="BC22" s="5"/>
      <c r="BD22" s="2"/>
      <c r="BE22" s="2"/>
    </row>
    <row r="23" spans="2:57" x14ac:dyDescent="0.25">
      <c r="B23" s="4">
        <v>46008</v>
      </c>
      <c r="C23" t="s">
        <v>11</v>
      </c>
      <c r="D23" s="5">
        <v>0</v>
      </c>
      <c r="E23" s="13"/>
      <c r="F23" s="15"/>
      <c r="G23">
        <f t="shared" si="0"/>
        <v>0</v>
      </c>
      <c r="N23" s="4"/>
      <c r="P23" s="5"/>
      <c r="Q23" s="2"/>
      <c r="R23" s="2"/>
      <c r="W23" s="4"/>
      <c r="Y23" s="5"/>
      <c r="Z23" s="2"/>
      <c r="AA23" s="2"/>
      <c r="AH23" s="4"/>
      <c r="AJ23" s="5"/>
      <c r="AK23" s="2"/>
      <c r="AL23" s="2"/>
      <c r="AQ23" s="4"/>
      <c r="AS23" s="5"/>
      <c r="AT23" s="2"/>
      <c r="AU23" s="2"/>
      <c r="BA23" s="4"/>
      <c r="BC23" s="5"/>
      <c r="BD23" s="2"/>
      <c r="BE23" s="2"/>
    </row>
    <row r="24" spans="2:57" x14ac:dyDescent="0.25">
      <c r="B24" s="4">
        <v>46009</v>
      </c>
      <c r="C24" t="s">
        <v>12</v>
      </c>
      <c r="D24" s="5">
        <v>0</v>
      </c>
      <c r="E24" s="13"/>
      <c r="F24" s="15">
        <v>250</v>
      </c>
      <c r="G24">
        <f t="shared" si="0"/>
        <v>0</v>
      </c>
      <c r="N24" s="4"/>
      <c r="P24" s="5"/>
      <c r="Q24" s="2"/>
      <c r="R24" s="2"/>
      <c r="W24" s="4"/>
      <c r="Y24" s="5"/>
      <c r="Z24" s="2"/>
      <c r="AA24" s="2"/>
      <c r="AH24" s="4"/>
      <c r="AJ24" s="5"/>
      <c r="AK24" s="2"/>
      <c r="AL24" s="2"/>
      <c r="AQ24" s="4"/>
      <c r="AS24" s="5"/>
      <c r="AT24" s="2"/>
      <c r="AU24" s="2"/>
      <c r="BA24" s="4"/>
      <c r="BC24" s="5"/>
      <c r="BD24" s="2"/>
      <c r="BE24" s="2"/>
    </row>
    <row r="25" spans="2:57" x14ac:dyDescent="0.25">
      <c r="B25" s="4">
        <v>46010</v>
      </c>
      <c r="C25" t="s">
        <v>6</v>
      </c>
      <c r="D25" s="5">
        <v>0</v>
      </c>
      <c r="E25" s="13">
        <v>3</v>
      </c>
      <c r="F25" s="15"/>
      <c r="G25">
        <f t="shared" si="0"/>
        <v>225</v>
      </c>
      <c r="N25" s="4"/>
      <c r="P25" s="5"/>
      <c r="Q25" s="2"/>
      <c r="R25" s="2"/>
      <c r="W25" s="4"/>
      <c r="Y25" s="5"/>
      <c r="Z25" s="2"/>
      <c r="AA25" s="2"/>
      <c r="AH25" s="4"/>
      <c r="AJ25" s="5"/>
      <c r="AK25" s="2"/>
      <c r="AL25" s="2"/>
      <c r="AQ25" s="4"/>
      <c r="AS25" s="5"/>
      <c r="AT25" s="2"/>
      <c r="AU25" s="2"/>
      <c r="BA25" s="4"/>
      <c r="BC25" s="5"/>
      <c r="BD25" s="2"/>
      <c r="BE25" s="2"/>
    </row>
    <row r="26" spans="2:57" x14ac:dyDescent="0.25">
      <c r="B26" s="4">
        <v>46011</v>
      </c>
      <c r="C26" t="s">
        <v>7</v>
      </c>
      <c r="D26" s="5">
        <v>1</v>
      </c>
      <c r="E26" s="13">
        <v>4</v>
      </c>
      <c r="F26" s="15"/>
      <c r="G26">
        <f t="shared" si="0"/>
        <v>900</v>
      </c>
      <c r="N26" s="4"/>
      <c r="P26" s="5"/>
      <c r="Q26" s="2"/>
      <c r="R26" s="2"/>
      <c r="W26" s="4"/>
      <c r="Y26" s="5"/>
      <c r="Z26" s="2"/>
      <c r="AA26" s="2"/>
      <c r="AH26" s="4"/>
      <c r="AJ26" s="5"/>
      <c r="AK26" s="2"/>
      <c r="AL26" s="2"/>
      <c r="AQ26" s="4"/>
      <c r="AS26" s="5"/>
      <c r="AT26" s="2"/>
      <c r="AU26" s="2"/>
      <c r="BA26" s="4"/>
      <c r="BC26" s="5"/>
      <c r="BD26" s="2"/>
      <c r="BE26" s="2"/>
    </row>
    <row r="27" spans="2:57" x14ac:dyDescent="0.25">
      <c r="B27" s="4">
        <v>46012</v>
      </c>
      <c r="C27" t="s">
        <v>8</v>
      </c>
      <c r="D27" s="5">
        <v>1</v>
      </c>
      <c r="E27" s="13">
        <v>4</v>
      </c>
      <c r="F27" s="15">
        <v>400</v>
      </c>
      <c r="G27">
        <f t="shared" si="0"/>
        <v>900</v>
      </c>
      <c r="N27" s="4"/>
      <c r="P27" s="5"/>
      <c r="Q27" s="2"/>
      <c r="R27" s="2"/>
      <c r="W27" s="4"/>
      <c r="Y27" s="5"/>
      <c r="Z27" s="2"/>
      <c r="AA27" s="2"/>
      <c r="AH27" s="4"/>
      <c r="AJ27" s="5"/>
      <c r="AK27" s="2"/>
      <c r="AL27" s="2"/>
      <c r="AQ27" s="4"/>
      <c r="AS27" s="5"/>
      <c r="AT27" s="2"/>
      <c r="AU27" s="2"/>
      <c r="BA27" s="4"/>
      <c r="BC27" s="5"/>
      <c r="BD27" s="2"/>
      <c r="BE27" s="2"/>
    </row>
    <row r="28" spans="2:57" x14ac:dyDescent="0.25">
      <c r="B28" s="4">
        <v>46013</v>
      </c>
      <c r="C28" t="s">
        <v>9</v>
      </c>
      <c r="D28" s="5">
        <v>1</v>
      </c>
      <c r="E28" s="13">
        <v>6</v>
      </c>
      <c r="F28" s="15">
        <v>50</v>
      </c>
      <c r="G28">
        <f t="shared" si="0"/>
        <v>1050</v>
      </c>
      <c r="N28" s="4"/>
      <c r="P28" s="5"/>
      <c r="Q28" s="2"/>
      <c r="R28" s="2"/>
      <c r="W28" s="4"/>
      <c r="Y28" s="5"/>
      <c r="Z28" s="2"/>
      <c r="AA28" s="2"/>
      <c r="AH28" s="4"/>
      <c r="AJ28" s="5"/>
      <c r="AK28" s="2"/>
      <c r="AL28" s="2"/>
      <c r="AQ28" s="4"/>
      <c r="AS28" s="5"/>
      <c r="AT28" s="2"/>
      <c r="AU28" s="2"/>
      <c r="BA28" s="4"/>
      <c r="BC28" s="5"/>
      <c r="BD28" s="2"/>
      <c r="BE28" s="2"/>
    </row>
    <row r="29" spans="2:57" x14ac:dyDescent="0.25">
      <c r="B29" s="4">
        <v>46014</v>
      </c>
      <c r="C29" t="s">
        <v>10</v>
      </c>
      <c r="D29" s="5">
        <v>1</v>
      </c>
      <c r="E29" s="13">
        <v>7</v>
      </c>
      <c r="F29" s="15">
        <v>600</v>
      </c>
      <c r="G29">
        <f t="shared" si="0"/>
        <v>1125</v>
      </c>
      <c r="N29" s="4"/>
      <c r="P29" s="5"/>
      <c r="Q29" s="2"/>
      <c r="R29" s="2"/>
      <c r="W29" s="4"/>
      <c r="Y29" s="5"/>
      <c r="Z29" s="2"/>
      <c r="AA29" s="2"/>
      <c r="AH29" s="4"/>
      <c r="AJ29" s="5"/>
      <c r="AK29" s="2"/>
      <c r="AL29" s="2"/>
      <c r="AQ29" s="4"/>
      <c r="AS29" s="5"/>
      <c r="AT29" s="2"/>
      <c r="AU29" s="2"/>
      <c r="BA29" s="4"/>
      <c r="BC29" s="5"/>
      <c r="BD29" s="2"/>
      <c r="BE29" s="2"/>
    </row>
    <row r="30" spans="2:57" x14ac:dyDescent="0.25">
      <c r="B30" s="4">
        <v>46015</v>
      </c>
      <c r="C30" t="s">
        <v>11</v>
      </c>
      <c r="D30" s="5">
        <v>0</v>
      </c>
      <c r="E30" s="13"/>
      <c r="F30" s="15">
        <v>3500</v>
      </c>
      <c r="G30">
        <f t="shared" si="0"/>
        <v>0</v>
      </c>
      <c r="N30" s="4"/>
      <c r="P30" s="5"/>
      <c r="Q30" s="2"/>
      <c r="R30" s="2"/>
      <c r="W30" s="4"/>
      <c r="Y30" s="5"/>
      <c r="Z30" s="2"/>
      <c r="AA30" s="2"/>
      <c r="AH30" s="4"/>
      <c r="AJ30" s="5"/>
      <c r="AK30" s="2"/>
      <c r="AL30" s="2"/>
      <c r="AQ30" s="4"/>
      <c r="AS30" s="5"/>
      <c r="AT30" s="2"/>
      <c r="AU30" s="2"/>
      <c r="BA30" s="4"/>
      <c r="BC30" s="5"/>
      <c r="BD30" s="2"/>
      <c r="BE30" s="2"/>
    </row>
    <row r="31" spans="2:57" x14ac:dyDescent="0.25">
      <c r="B31" s="4">
        <v>46016</v>
      </c>
      <c r="C31" t="s">
        <v>12</v>
      </c>
      <c r="D31" s="5">
        <v>1</v>
      </c>
      <c r="E31" s="13"/>
      <c r="F31" s="15">
        <v>350</v>
      </c>
      <c r="G31">
        <f t="shared" si="0"/>
        <v>600</v>
      </c>
      <c r="N31" s="4"/>
      <c r="P31" s="5"/>
      <c r="Q31" s="2"/>
      <c r="R31" s="2"/>
      <c r="W31" s="4"/>
      <c r="Y31" s="5"/>
      <c r="Z31" s="2"/>
      <c r="AA31" s="2"/>
      <c r="AH31" s="4"/>
      <c r="AJ31" s="5"/>
      <c r="AK31" s="2"/>
      <c r="AL31" s="2"/>
      <c r="AQ31" s="4"/>
      <c r="AS31" s="5"/>
      <c r="AT31" s="2"/>
      <c r="AU31" s="2"/>
      <c r="BA31" s="4"/>
      <c r="BC31" s="5"/>
      <c r="BD31" s="2"/>
      <c r="BE31" s="2"/>
    </row>
    <row r="32" spans="2:57" x14ac:dyDescent="0.25">
      <c r="B32" s="4">
        <v>46017</v>
      </c>
      <c r="C32" t="s">
        <v>6</v>
      </c>
      <c r="D32" s="5">
        <v>1</v>
      </c>
      <c r="E32" s="13">
        <v>4</v>
      </c>
      <c r="F32" s="15"/>
      <c r="G32">
        <f t="shared" si="0"/>
        <v>900</v>
      </c>
      <c r="N32" s="4"/>
      <c r="P32" s="5"/>
      <c r="Q32" s="2"/>
      <c r="R32" s="2"/>
      <c r="W32" s="4"/>
      <c r="Y32" s="5"/>
      <c r="Z32" s="2"/>
      <c r="AA32" s="2"/>
      <c r="AH32" s="4"/>
      <c r="AJ32" s="5"/>
      <c r="AK32" s="2"/>
      <c r="AL32" s="2"/>
      <c r="AQ32" s="4"/>
      <c r="AS32" s="5"/>
      <c r="AT32" s="2"/>
      <c r="AU32" s="2"/>
      <c r="BA32" s="4"/>
      <c r="BC32" s="5"/>
      <c r="BD32" s="2"/>
      <c r="BE32" s="2"/>
    </row>
    <row r="33" spans="2:57" x14ac:dyDescent="0.25">
      <c r="B33" s="4">
        <v>46018</v>
      </c>
      <c r="C33" t="s">
        <v>7</v>
      </c>
      <c r="D33" s="5">
        <v>1</v>
      </c>
      <c r="E33" s="13">
        <v>2</v>
      </c>
      <c r="F33" s="15"/>
      <c r="G33">
        <f t="shared" si="0"/>
        <v>750</v>
      </c>
      <c r="N33" s="4"/>
      <c r="P33" s="5"/>
      <c r="Q33" s="2"/>
      <c r="R33" s="2"/>
      <c r="W33" s="4"/>
      <c r="Y33" s="5"/>
      <c r="Z33" s="2"/>
      <c r="AA33" s="2"/>
      <c r="AH33" s="4"/>
      <c r="AJ33" s="5"/>
      <c r="AK33" s="2"/>
      <c r="AL33" s="2"/>
      <c r="AQ33" s="4"/>
      <c r="AS33" s="5"/>
      <c r="AT33" s="2"/>
      <c r="AU33" s="2"/>
      <c r="BA33" s="4"/>
      <c r="BC33" s="5"/>
      <c r="BD33" s="2"/>
      <c r="BE33" s="2"/>
    </row>
    <row r="34" spans="2:57" x14ac:dyDescent="0.25">
      <c r="B34" s="4">
        <v>46019</v>
      </c>
      <c r="C34" t="s">
        <v>8</v>
      </c>
      <c r="D34" s="5">
        <v>1</v>
      </c>
      <c r="E34" s="13">
        <v>2</v>
      </c>
      <c r="F34" s="15"/>
      <c r="G34">
        <f t="shared" si="0"/>
        <v>750</v>
      </c>
      <c r="N34" s="4"/>
      <c r="P34" s="5"/>
      <c r="Q34" s="2"/>
      <c r="R34" s="2"/>
      <c r="W34" s="4"/>
      <c r="Y34" s="5"/>
      <c r="Z34" s="2"/>
      <c r="AA34" s="2"/>
      <c r="AH34" s="4"/>
      <c r="AJ34" s="5"/>
      <c r="AK34" s="2"/>
      <c r="AL34" s="2"/>
      <c r="AQ34" s="4"/>
      <c r="AS34" s="5"/>
      <c r="AT34" s="2"/>
      <c r="AU34" s="2"/>
      <c r="BA34" s="4"/>
      <c r="BC34" s="5"/>
      <c r="BD34" s="2"/>
      <c r="BE34" s="2"/>
    </row>
    <row r="35" spans="2:57" x14ac:dyDescent="0.25">
      <c r="B35" s="4">
        <v>46020</v>
      </c>
      <c r="C35" t="s">
        <v>9</v>
      </c>
      <c r="D35" s="5">
        <v>1</v>
      </c>
      <c r="E35" s="13">
        <v>4</v>
      </c>
      <c r="F35" s="13"/>
      <c r="G35">
        <f t="shared" si="0"/>
        <v>900</v>
      </c>
      <c r="N35" s="4"/>
      <c r="P35" s="5"/>
      <c r="Q35" s="2"/>
      <c r="R35" s="2"/>
      <c r="W35" s="4"/>
      <c r="Y35" s="5"/>
      <c r="Z35" s="2"/>
      <c r="AA35" s="2"/>
      <c r="AH35" s="4"/>
      <c r="AJ35" s="5"/>
      <c r="AK35" s="2"/>
      <c r="AL35" s="2"/>
      <c r="AQ35" s="4"/>
      <c r="AS35" s="5"/>
      <c r="AT35" s="2"/>
      <c r="AU35" s="2"/>
      <c r="BA35" s="4"/>
      <c r="BC35" s="5"/>
      <c r="BD35" s="2"/>
      <c r="BE35" s="2"/>
    </row>
    <row r="36" spans="2:57" x14ac:dyDescent="0.25">
      <c r="B36" s="4">
        <v>46021</v>
      </c>
      <c r="C36" t="s">
        <v>10</v>
      </c>
      <c r="D36" s="5">
        <v>1</v>
      </c>
      <c r="E36" s="2">
        <v>5</v>
      </c>
      <c r="G36">
        <f t="shared" si="0"/>
        <v>975</v>
      </c>
      <c r="N36" s="4"/>
      <c r="P36" s="5"/>
      <c r="Q36" s="2"/>
      <c r="R36" s="2"/>
      <c r="W36" s="4"/>
      <c r="Y36" s="5"/>
      <c r="Z36" s="2"/>
      <c r="AA36" s="2"/>
      <c r="AH36" s="4"/>
      <c r="AJ36" s="5"/>
      <c r="AK36" s="2"/>
      <c r="AL36" s="2"/>
      <c r="AQ36" s="4"/>
      <c r="AS36" s="5"/>
      <c r="AT36" s="2"/>
      <c r="AU36" s="2"/>
      <c r="BA36" s="4"/>
      <c r="BC36" s="5"/>
      <c r="BD36" s="2"/>
      <c r="BE36" s="2"/>
    </row>
    <row r="37" spans="2:57" x14ac:dyDescent="0.25">
      <c r="B37" s="4">
        <v>46022</v>
      </c>
      <c r="C37" t="s">
        <v>11</v>
      </c>
      <c r="D37" s="5">
        <v>0</v>
      </c>
      <c r="E37" s="13"/>
      <c r="F37" s="13"/>
      <c r="G37">
        <f t="shared" si="0"/>
        <v>0</v>
      </c>
      <c r="N37" s="4"/>
      <c r="P37" s="5"/>
      <c r="Q37" s="13"/>
      <c r="R37" s="13"/>
      <c r="W37" s="4"/>
      <c r="Y37" s="5"/>
      <c r="Z37" s="13"/>
      <c r="AA37" s="13"/>
      <c r="AH37" s="4"/>
      <c r="AJ37" s="5"/>
      <c r="AK37" s="13"/>
      <c r="AL37" s="13"/>
      <c r="AQ37" s="4"/>
      <c r="AS37" s="5"/>
      <c r="AT37" s="13"/>
      <c r="AU37" s="13"/>
      <c r="BA37" s="4"/>
      <c r="BC37" s="5"/>
      <c r="BD37" s="13"/>
      <c r="BE37" s="13"/>
    </row>
    <row r="38" spans="2:57" x14ac:dyDescent="0.25">
      <c r="B38" s="1"/>
      <c r="D38" s="5">
        <f>SUM(D7:D37)</f>
        <v>24</v>
      </c>
      <c r="E38" s="2">
        <f>SUM(E7:E37)</f>
        <v>94</v>
      </c>
      <c r="F38" s="2">
        <f>SUM(F7:F37)</f>
        <v>17200</v>
      </c>
      <c r="G38">
        <f>SUM(G7:G36)</f>
        <v>21450</v>
      </c>
    </row>
    <row r="39" spans="2:57" x14ac:dyDescent="0.25">
      <c r="B39" s="1"/>
      <c r="G39">
        <f>G38-F38</f>
        <v>4250</v>
      </c>
    </row>
  </sheetData>
  <mergeCells count="12">
    <mergeCell ref="AG2:AL2"/>
    <mergeCell ref="AG4:AL4"/>
    <mergeCell ref="AP2:AU2"/>
    <mergeCell ref="AP4:AU4"/>
    <mergeCell ref="AZ2:BE2"/>
    <mergeCell ref="AZ4:BE4"/>
    <mergeCell ref="A2:F2"/>
    <mergeCell ref="A4:F4"/>
    <mergeCell ref="M2:R2"/>
    <mergeCell ref="M4:R4"/>
    <mergeCell ref="V2:AA2"/>
    <mergeCell ref="V4:AA4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B592-1901-4FEC-9C31-275EC8D2E3F3}">
  <dimension ref="A2:BE39"/>
  <sheetViews>
    <sheetView zoomScale="85" zoomScaleNormal="85" workbookViewId="0">
      <selection activeCell="P33" sqref="P33"/>
    </sheetView>
  </sheetViews>
  <sheetFormatPr defaultRowHeight="15" x14ac:dyDescent="0.25"/>
  <cols>
    <col min="1" max="2" width="16.85546875" customWidth="1"/>
    <col min="3" max="3" width="14" customWidth="1"/>
    <col min="4" max="4" width="19.85546875" style="5" customWidth="1"/>
    <col min="5" max="5" width="17" style="2" customWidth="1"/>
    <col min="6" max="6" width="13.28515625" style="2" customWidth="1"/>
    <col min="9" max="9" width="27.7109375" customWidth="1"/>
    <col min="12" max="12" width="9.140625" customWidth="1"/>
    <col min="13" max="13" width="15" customWidth="1"/>
    <col min="14" max="14" width="14.28515625" customWidth="1"/>
    <col min="15" max="15" width="13.85546875" customWidth="1"/>
    <col min="16" max="16" width="14.5703125" customWidth="1"/>
    <col min="17" max="17" width="11.42578125" customWidth="1"/>
    <col min="21" max="21" width="9.140625" customWidth="1"/>
    <col min="22" max="22" width="7" customWidth="1"/>
    <col min="23" max="23" width="13.5703125" customWidth="1"/>
    <col min="24" max="24" width="12.28515625" customWidth="1"/>
    <col min="34" max="34" width="15.7109375" customWidth="1"/>
    <col min="35" max="35" width="14.42578125" customWidth="1"/>
    <col min="43" max="43" width="17" customWidth="1"/>
    <col min="44" max="44" width="13.5703125" customWidth="1"/>
    <col min="45" max="45" width="12.140625" customWidth="1"/>
    <col min="46" max="46" width="13.5703125" customWidth="1"/>
    <col min="53" max="53" width="14.28515625" customWidth="1"/>
    <col min="54" max="54" width="14" customWidth="1"/>
    <col min="55" max="55" width="11.140625" customWidth="1"/>
    <col min="56" max="56" width="12.7109375" customWidth="1"/>
  </cols>
  <sheetData>
    <row r="2" spans="1:57" x14ac:dyDescent="0.25">
      <c r="A2" s="22" t="s">
        <v>34</v>
      </c>
      <c r="B2" s="22"/>
      <c r="C2" s="22"/>
      <c r="D2" s="22"/>
      <c r="E2" s="22"/>
      <c r="F2" s="22"/>
      <c r="M2" s="22"/>
      <c r="N2" s="22"/>
      <c r="O2" s="22"/>
      <c r="P2" s="22"/>
      <c r="Q2" s="22"/>
      <c r="R2" s="22"/>
      <c r="V2" s="22"/>
      <c r="W2" s="22"/>
      <c r="X2" s="22"/>
      <c r="Y2" s="22"/>
      <c r="Z2" s="22"/>
      <c r="AA2" s="22"/>
      <c r="AG2" s="22"/>
      <c r="AH2" s="22"/>
      <c r="AI2" s="22"/>
      <c r="AJ2" s="22"/>
      <c r="AK2" s="22"/>
      <c r="AL2" s="22"/>
      <c r="AP2" s="22"/>
      <c r="AQ2" s="22"/>
      <c r="AR2" s="22"/>
      <c r="AS2" s="22"/>
      <c r="AT2" s="22"/>
      <c r="AU2" s="22"/>
      <c r="AZ2" s="22"/>
      <c r="BA2" s="22"/>
      <c r="BB2" s="22"/>
      <c r="BC2" s="22"/>
      <c r="BD2" s="22"/>
      <c r="BE2" s="22"/>
    </row>
    <row r="3" spans="1:57" x14ac:dyDescent="0.25">
      <c r="P3" s="5"/>
      <c r="Q3" s="2"/>
      <c r="R3" s="2"/>
      <c r="Y3" s="5"/>
      <c r="Z3" s="2"/>
      <c r="AA3" s="2"/>
      <c r="AJ3" s="5"/>
      <c r="AK3" s="2"/>
      <c r="AL3" s="2"/>
      <c r="AS3" s="5"/>
      <c r="AT3" s="2"/>
      <c r="AU3" s="2"/>
      <c r="BC3" s="5"/>
      <c r="BD3" s="2"/>
      <c r="BE3" s="2"/>
    </row>
    <row r="4" spans="1:57" x14ac:dyDescent="0.25">
      <c r="A4" s="21" t="s">
        <v>13</v>
      </c>
      <c r="B4" s="21"/>
      <c r="C4" s="21"/>
      <c r="D4" s="21"/>
      <c r="E4" s="21"/>
      <c r="F4" s="21"/>
      <c r="M4" s="21"/>
      <c r="N4" s="21"/>
      <c r="O4" s="21"/>
      <c r="P4" s="21"/>
      <c r="Q4" s="21"/>
      <c r="R4" s="21"/>
      <c r="V4" s="23"/>
      <c r="W4" s="23"/>
      <c r="X4" s="23"/>
      <c r="Y4" s="23"/>
      <c r="Z4" s="23"/>
      <c r="AA4" s="23"/>
      <c r="AG4" s="21"/>
      <c r="AH4" s="21"/>
      <c r="AI4" s="21"/>
      <c r="AJ4" s="21"/>
      <c r="AK4" s="21"/>
      <c r="AL4" s="21"/>
      <c r="AP4" s="21"/>
      <c r="AQ4" s="21"/>
      <c r="AR4" s="21"/>
      <c r="AS4" s="21"/>
      <c r="AT4" s="21"/>
      <c r="AU4" s="21"/>
      <c r="AZ4" s="21"/>
      <c r="BA4" s="21"/>
      <c r="BB4" s="21"/>
      <c r="BC4" s="21"/>
      <c r="BD4" s="21"/>
      <c r="BE4" s="21"/>
    </row>
    <row r="5" spans="1:57" x14ac:dyDescent="0.25">
      <c r="P5" s="5"/>
      <c r="Q5" s="2"/>
      <c r="R5" s="2"/>
      <c r="Y5" s="5"/>
      <c r="Z5" s="2"/>
      <c r="AA5" s="2"/>
      <c r="AG5" s="6"/>
      <c r="AH5" s="6"/>
      <c r="AI5" s="6"/>
      <c r="AJ5" s="7"/>
      <c r="AK5" s="8"/>
      <c r="AL5" s="8"/>
      <c r="AS5" s="5"/>
      <c r="AT5" s="2"/>
      <c r="AU5" s="2"/>
      <c r="BC5" s="5"/>
      <c r="BD5" s="2"/>
      <c r="BE5" s="2"/>
    </row>
    <row r="6" spans="1:57" x14ac:dyDescent="0.25">
      <c r="B6" t="s">
        <v>0</v>
      </c>
      <c r="C6" t="s">
        <v>1</v>
      </c>
      <c r="D6" s="5" t="s">
        <v>2</v>
      </c>
      <c r="E6" s="2" t="s">
        <v>3</v>
      </c>
      <c r="F6" s="2" t="s">
        <v>4</v>
      </c>
      <c r="G6" t="s">
        <v>14</v>
      </c>
      <c r="I6" t="s">
        <v>19</v>
      </c>
      <c r="P6" s="5"/>
      <c r="Q6" s="2"/>
      <c r="R6" s="2"/>
      <c r="Y6" s="5"/>
      <c r="Z6" s="2"/>
      <c r="AA6" s="2"/>
      <c r="AJ6" s="5"/>
      <c r="AK6" s="2"/>
      <c r="AL6" s="2"/>
      <c r="AS6" s="5"/>
      <c r="AT6" s="2"/>
      <c r="AU6" s="2"/>
      <c r="BC6" s="5"/>
      <c r="BD6" s="2"/>
      <c r="BE6" s="2"/>
    </row>
    <row r="7" spans="1:57" x14ac:dyDescent="0.25">
      <c r="B7" s="4">
        <v>46023</v>
      </c>
      <c r="C7" t="s">
        <v>12</v>
      </c>
      <c r="D7" s="5">
        <v>1</v>
      </c>
      <c r="E7" s="2">
        <v>9</v>
      </c>
      <c r="F7" s="2">
        <v>500</v>
      </c>
      <c r="G7">
        <f>(D7*8+E7)*50</f>
        <v>850</v>
      </c>
      <c r="N7" s="4"/>
      <c r="P7" s="5"/>
      <c r="Q7" s="2"/>
      <c r="R7" s="2"/>
      <c r="W7" s="4"/>
      <c r="Y7" s="5"/>
      <c r="Z7" s="2"/>
      <c r="AA7" s="2"/>
      <c r="AH7" s="4"/>
      <c r="AJ7" s="5"/>
      <c r="AK7" s="2"/>
      <c r="AL7" s="2"/>
      <c r="AQ7" s="4"/>
      <c r="AS7" s="5"/>
      <c r="AT7" s="2"/>
      <c r="AU7" s="2"/>
      <c r="BA7" s="4"/>
      <c r="BC7" s="5"/>
      <c r="BD7" s="2"/>
      <c r="BE7" s="2"/>
    </row>
    <row r="8" spans="1:57" x14ac:dyDescent="0.25">
      <c r="B8" s="4">
        <v>46024</v>
      </c>
      <c r="C8" t="s">
        <v>6</v>
      </c>
      <c r="D8" s="5">
        <v>1</v>
      </c>
      <c r="E8" s="18">
        <v>2</v>
      </c>
      <c r="F8" s="18"/>
      <c r="G8">
        <f t="shared" ref="G8:G37" si="0">(D8*8+E8)*50</f>
        <v>500</v>
      </c>
      <c r="N8" s="4"/>
      <c r="P8" s="5"/>
      <c r="Q8" s="2"/>
      <c r="R8" s="2"/>
      <c r="W8" s="4"/>
      <c r="Y8" s="5"/>
      <c r="Z8" s="2"/>
      <c r="AA8" s="2"/>
      <c r="AH8" s="4"/>
      <c r="AJ8" s="5"/>
      <c r="AK8" s="2"/>
      <c r="AL8" s="2"/>
      <c r="AQ8" s="4"/>
      <c r="AS8" s="5"/>
      <c r="AT8" s="2"/>
      <c r="AU8" s="2"/>
      <c r="BA8" s="4"/>
      <c r="BC8" s="5"/>
      <c r="BD8" s="2"/>
      <c r="BE8" s="2"/>
    </row>
    <row r="9" spans="1:57" x14ac:dyDescent="0.25">
      <c r="B9" s="4">
        <v>46025</v>
      </c>
      <c r="C9" t="s">
        <v>7</v>
      </c>
      <c r="D9" s="5">
        <v>1</v>
      </c>
      <c r="E9" s="18">
        <v>3</v>
      </c>
      <c r="F9" s="18"/>
      <c r="G9">
        <f t="shared" si="0"/>
        <v>550</v>
      </c>
      <c r="N9" s="4"/>
      <c r="P9" s="5"/>
      <c r="Q9" s="2"/>
      <c r="R9" s="2"/>
      <c r="W9" s="4"/>
      <c r="Y9" s="5"/>
      <c r="Z9" s="2"/>
      <c r="AA9" s="2"/>
      <c r="AH9" s="4"/>
      <c r="AJ9" s="5"/>
      <c r="AK9" s="2"/>
      <c r="AL9" s="2"/>
      <c r="AQ9" s="4"/>
      <c r="AS9" s="5"/>
      <c r="AT9" s="2"/>
      <c r="AU9" s="2"/>
      <c r="BA9" s="4"/>
      <c r="BC9" s="5"/>
      <c r="BD9" s="2"/>
      <c r="BE9" s="2"/>
    </row>
    <row r="10" spans="1:57" x14ac:dyDescent="0.25">
      <c r="B10" s="4">
        <v>46026</v>
      </c>
      <c r="C10" t="s">
        <v>8</v>
      </c>
      <c r="D10" s="5">
        <v>1</v>
      </c>
      <c r="E10" s="18">
        <v>4</v>
      </c>
      <c r="F10" s="18"/>
      <c r="G10">
        <f t="shared" si="0"/>
        <v>600</v>
      </c>
      <c r="N10" s="4"/>
      <c r="P10" s="5"/>
      <c r="Q10" s="2"/>
      <c r="R10" s="2"/>
      <c r="W10" s="4"/>
      <c r="Y10" s="5"/>
      <c r="Z10" s="2"/>
      <c r="AA10" s="2"/>
      <c r="AH10" s="4"/>
      <c r="AJ10" s="5"/>
      <c r="AK10" s="2"/>
      <c r="AL10" s="2"/>
      <c r="AQ10" s="4"/>
      <c r="AS10" s="5"/>
      <c r="AT10" s="2"/>
      <c r="AU10" s="2"/>
      <c r="BA10" s="4"/>
      <c r="BC10" s="5"/>
      <c r="BD10" s="2"/>
      <c r="BE10" s="2"/>
    </row>
    <row r="11" spans="1:57" x14ac:dyDescent="0.25">
      <c r="B11" s="4">
        <v>46027</v>
      </c>
      <c r="C11" t="s">
        <v>9</v>
      </c>
      <c r="D11" s="5">
        <v>1</v>
      </c>
      <c r="E11" s="18">
        <v>7</v>
      </c>
      <c r="F11" s="18"/>
      <c r="G11">
        <f t="shared" si="0"/>
        <v>750</v>
      </c>
      <c r="N11" s="4"/>
      <c r="P11" s="5"/>
      <c r="Q11" s="2"/>
      <c r="R11" s="2"/>
      <c r="W11" s="4"/>
      <c r="Y11" s="5"/>
      <c r="Z11" s="2"/>
      <c r="AA11" s="2"/>
      <c r="AH11" s="4"/>
      <c r="AJ11" s="5"/>
      <c r="AK11" s="2"/>
      <c r="AL11" s="2"/>
      <c r="AQ11" s="4"/>
      <c r="AS11" s="5"/>
      <c r="AT11" s="2"/>
      <c r="AU11" s="2"/>
      <c r="BA11" s="4"/>
      <c r="BC11" s="5"/>
      <c r="BD11" s="2"/>
      <c r="BE11" s="2"/>
    </row>
    <row r="12" spans="1:57" x14ac:dyDescent="0.25">
      <c r="B12" s="4">
        <v>46028</v>
      </c>
      <c r="C12" t="s">
        <v>10</v>
      </c>
      <c r="D12" s="5">
        <v>1</v>
      </c>
      <c r="E12" s="18">
        <v>10</v>
      </c>
      <c r="F12" s="18"/>
      <c r="G12">
        <f t="shared" si="0"/>
        <v>900</v>
      </c>
      <c r="N12" s="4"/>
      <c r="P12" s="5"/>
      <c r="Q12" s="2"/>
      <c r="R12" s="2"/>
      <c r="W12" s="4"/>
      <c r="Y12" s="5"/>
      <c r="Z12" s="2"/>
      <c r="AA12" s="2"/>
      <c r="AH12" s="4"/>
      <c r="AJ12" s="5"/>
      <c r="AK12" s="2"/>
      <c r="AL12" s="2"/>
      <c r="AQ12" s="4"/>
      <c r="AS12" s="5"/>
      <c r="AT12" s="2"/>
      <c r="AU12" s="2"/>
      <c r="BA12" s="4"/>
      <c r="BC12" s="5"/>
      <c r="BD12" s="2"/>
      <c r="BE12" s="2"/>
    </row>
    <row r="13" spans="1:57" x14ac:dyDescent="0.25">
      <c r="B13" s="4">
        <v>46029</v>
      </c>
      <c r="C13" t="s">
        <v>11</v>
      </c>
      <c r="D13" s="5">
        <v>0</v>
      </c>
      <c r="E13" s="18">
        <v>0</v>
      </c>
      <c r="F13" s="18"/>
      <c r="G13">
        <f t="shared" si="0"/>
        <v>0</v>
      </c>
      <c r="N13" s="4"/>
      <c r="P13" s="5"/>
      <c r="Q13" s="2"/>
      <c r="R13" s="2"/>
      <c r="W13" s="4"/>
      <c r="Y13" s="5"/>
      <c r="Z13" s="2"/>
      <c r="AA13" s="2"/>
      <c r="AH13" s="4"/>
      <c r="AJ13" s="5"/>
      <c r="AK13" s="2"/>
      <c r="AL13" s="2"/>
      <c r="AQ13" s="4"/>
      <c r="AS13" s="5"/>
      <c r="AT13" s="2"/>
      <c r="AU13" s="2"/>
      <c r="BA13" s="4"/>
      <c r="BC13" s="5"/>
      <c r="BD13" s="2"/>
      <c r="BE13" s="2"/>
    </row>
    <row r="14" spans="1:57" x14ac:dyDescent="0.25">
      <c r="B14" s="4">
        <v>46030</v>
      </c>
      <c r="C14" t="s">
        <v>12</v>
      </c>
      <c r="D14" s="5">
        <v>0</v>
      </c>
      <c r="E14" s="18">
        <v>4</v>
      </c>
      <c r="F14" s="18">
        <v>2000</v>
      </c>
      <c r="G14">
        <f t="shared" si="0"/>
        <v>200</v>
      </c>
      <c r="N14" s="4"/>
      <c r="P14" s="5"/>
      <c r="Q14" s="2"/>
      <c r="R14" s="2"/>
      <c r="W14" s="4"/>
      <c r="Y14" s="5"/>
      <c r="Z14" s="2"/>
      <c r="AA14" s="2"/>
      <c r="AH14" s="4"/>
      <c r="AJ14" s="5"/>
      <c r="AK14" s="2"/>
      <c r="AL14" s="2"/>
      <c r="AQ14" s="4"/>
      <c r="AS14" s="5"/>
      <c r="AT14" s="2"/>
      <c r="AU14" s="2"/>
      <c r="BA14" s="4"/>
      <c r="BC14" s="5"/>
      <c r="BD14" s="2"/>
      <c r="BE14" s="2"/>
    </row>
    <row r="15" spans="1:57" x14ac:dyDescent="0.25">
      <c r="B15" s="4">
        <v>46031</v>
      </c>
      <c r="C15" t="s">
        <v>6</v>
      </c>
      <c r="D15" s="5">
        <v>1</v>
      </c>
      <c r="E15" s="18"/>
      <c r="F15" s="18"/>
      <c r="G15">
        <f t="shared" si="0"/>
        <v>400</v>
      </c>
      <c r="N15" s="4"/>
      <c r="P15" s="5"/>
      <c r="Q15" s="2"/>
      <c r="R15" s="2"/>
      <c r="W15" s="4"/>
      <c r="Y15" s="5"/>
      <c r="Z15" s="2"/>
      <c r="AA15" s="2"/>
      <c r="AH15" s="4"/>
      <c r="AJ15" s="5"/>
      <c r="AK15" s="2"/>
      <c r="AL15" s="2"/>
      <c r="AQ15" s="4"/>
      <c r="AS15" s="5"/>
      <c r="AT15" s="2"/>
      <c r="AU15" s="2"/>
      <c r="BA15" s="4"/>
      <c r="BC15" s="5"/>
      <c r="BD15" s="2"/>
      <c r="BE15" s="2"/>
    </row>
    <row r="16" spans="1:57" x14ac:dyDescent="0.25">
      <c r="B16" s="4">
        <v>46032</v>
      </c>
      <c r="C16" t="s">
        <v>7</v>
      </c>
      <c r="D16" s="5">
        <v>0</v>
      </c>
      <c r="E16" s="18"/>
      <c r="F16" s="18"/>
      <c r="G16">
        <f t="shared" si="0"/>
        <v>0</v>
      </c>
      <c r="N16" s="4"/>
      <c r="P16" s="5"/>
      <c r="Q16" s="2"/>
      <c r="R16" s="2"/>
      <c r="W16" s="4"/>
      <c r="Y16" s="5"/>
      <c r="Z16" s="2"/>
      <c r="AA16" s="2"/>
      <c r="AH16" s="4"/>
      <c r="AJ16" s="5"/>
      <c r="AK16" s="2"/>
      <c r="AL16" s="2"/>
      <c r="AQ16" s="4"/>
      <c r="AS16" s="5"/>
      <c r="AT16" s="2"/>
      <c r="AU16" s="2"/>
      <c r="BA16" s="4"/>
      <c r="BC16" s="5"/>
      <c r="BD16" s="2"/>
      <c r="BE16" s="2"/>
    </row>
    <row r="17" spans="2:57" x14ac:dyDescent="0.25">
      <c r="B17" s="4">
        <v>46033</v>
      </c>
      <c r="C17" t="s">
        <v>8</v>
      </c>
      <c r="D17" s="5">
        <v>1</v>
      </c>
      <c r="E17" s="18">
        <v>7</v>
      </c>
      <c r="F17" s="18"/>
      <c r="G17">
        <f t="shared" si="0"/>
        <v>750</v>
      </c>
      <c r="N17" s="4"/>
      <c r="P17" s="5"/>
      <c r="Q17" s="2"/>
      <c r="R17" s="2"/>
      <c r="W17" s="4"/>
      <c r="Y17" s="5"/>
      <c r="Z17" s="2"/>
      <c r="AA17" s="2"/>
      <c r="AH17" s="4"/>
      <c r="AJ17" s="5"/>
      <c r="AK17" s="2"/>
      <c r="AL17" s="2"/>
      <c r="AQ17" s="4"/>
      <c r="AS17" s="5"/>
      <c r="AT17" s="2"/>
      <c r="AU17" s="2"/>
      <c r="BA17" s="4"/>
      <c r="BC17" s="5"/>
      <c r="BD17" s="2"/>
      <c r="BE17" s="2"/>
    </row>
    <row r="18" spans="2:57" x14ac:dyDescent="0.25">
      <c r="B18" s="4">
        <v>46034</v>
      </c>
      <c r="C18" t="s">
        <v>9</v>
      </c>
      <c r="D18" s="5">
        <v>1</v>
      </c>
      <c r="E18" s="18">
        <v>3</v>
      </c>
      <c r="F18" s="18">
        <v>2900</v>
      </c>
      <c r="G18">
        <f t="shared" si="0"/>
        <v>550</v>
      </c>
      <c r="I18" t="s">
        <v>31</v>
      </c>
      <c r="N18" s="4"/>
      <c r="P18" s="5"/>
      <c r="Q18" s="2"/>
      <c r="R18" s="2"/>
      <c r="W18" s="4"/>
      <c r="Y18" s="5"/>
      <c r="Z18" s="2"/>
      <c r="AA18" s="2"/>
      <c r="AH18" s="4"/>
      <c r="AJ18" s="5"/>
      <c r="AK18" s="2"/>
      <c r="AL18" s="2"/>
      <c r="AQ18" s="4"/>
      <c r="AS18" s="5"/>
      <c r="AT18" s="2"/>
      <c r="AU18" s="2"/>
      <c r="BA18" s="4"/>
      <c r="BC18" s="5"/>
      <c r="BD18" s="2"/>
      <c r="BE18" s="2"/>
    </row>
    <row r="19" spans="2:57" x14ac:dyDescent="0.25">
      <c r="B19" s="4">
        <v>46035</v>
      </c>
      <c r="C19" t="s">
        <v>10</v>
      </c>
      <c r="D19" s="5">
        <v>0</v>
      </c>
      <c r="E19" s="18"/>
      <c r="F19" s="18">
        <v>200</v>
      </c>
      <c r="G19">
        <f t="shared" si="0"/>
        <v>0</v>
      </c>
      <c r="I19" t="s">
        <v>32</v>
      </c>
      <c r="N19" s="4"/>
      <c r="P19" s="5"/>
      <c r="Q19" s="2"/>
      <c r="R19" s="2"/>
      <c r="W19" s="4"/>
      <c r="Y19" s="5"/>
      <c r="Z19" s="2"/>
      <c r="AA19" s="2"/>
      <c r="AH19" s="4"/>
      <c r="AJ19" s="5"/>
      <c r="AK19" s="2"/>
      <c r="AL19" s="2"/>
      <c r="AQ19" s="4"/>
      <c r="AS19" s="5"/>
      <c r="AT19" s="2"/>
      <c r="AU19" s="2"/>
      <c r="BA19" s="4"/>
      <c r="BC19" s="5"/>
      <c r="BD19" s="2"/>
      <c r="BE19" s="2"/>
    </row>
    <row r="20" spans="2:57" x14ac:dyDescent="0.25">
      <c r="B20" s="4">
        <v>46036</v>
      </c>
      <c r="C20" t="s">
        <v>11</v>
      </c>
      <c r="D20" s="5">
        <v>0</v>
      </c>
      <c r="E20" s="18"/>
      <c r="F20" s="18">
        <v>450</v>
      </c>
      <c r="G20">
        <f t="shared" si="0"/>
        <v>0</v>
      </c>
      <c r="I20" t="s">
        <v>33</v>
      </c>
      <c r="N20" s="4"/>
      <c r="P20" s="5"/>
      <c r="Q20" s="2"/>
      <c r="R20" s="2"/>
      <c r="W20" s="4"/>
      <c r="Y20" s="5"/>
      <c r="Z20" s="2"/>
      <c r="AA20" s="2"/>
      <c r="AH20" s="4"/>
      <c r="AJ20" s="5"/>
      <c r="AK20" s="2"/>
      <c r="AL20" s="2"/>
      <c r="AQ20" s="4"/>
      <c r="AS20" s="5"/>
      <c r="AT20" s="2"/>
      <c r="AU20" s="2"/>
      <c r="BA20" s="4"/>
      <c r="BC20" s="5"/>
      <c r="BD20" s="2"/>
      <c r="BE20" s="2"/>
    </row>
    <row r="21" spans="2:57" x14ac:dyDescent="0.25">
      <c r="B21" s="4">
        <v>46037</v>
      </c>
      <c r="C21" t="s">
        <v>12</v>
      </c>
      <c r="E21" s="18"/>
      <c r="F21" s="18"/>
      <c r="G21">
        <f t="shared" si="0"/>
        <v>0</v>
      </c>
      <c r="N21" s="4"/>
      <c r="P21" s="5"/>
      <c r="Q21" s="2"/>
      <c r="R21" s="2"/>
      <c r="W21" s="4"/>
      <c r="Y21" s="5"/>
      <c r="Z21" s="2"/>
      <c r="AA21" s="2"/>
      <c r="AH21" s="4"/>
      <c r="AJ21" s="5"/>
      <c r="AK21" s="2"/>
      <c r="AL21" s="2"/>
      <c r="AQ21" s="4"/>
      <c r="AS21" s="5"/>
      <c r="AT21" s="2"/>
      <c r="AU21" s="2"/>
      <c r="BA21" s="4"/>
      <c r="BC21" s="5"/>
      <c r="BD21" s="2"/>
      <c r="BE21" s="2"/>
    </row>
    <row r="22" spans="2:57" x14ac:dyDescent="0.25">
      <c r="B22" s="4">
        <v>46038</v>
      </c>
      <c r="C22" t="s">
        <v>6</v>
      </c>
      <c r="E22" s="18"/>
      <c r="F22" s="18"/>
      <c r="G22">
        <f t="shared" si="0"/>
        <v>0</v>
      </c>
      <c r="N22" s="4"/>
      <c r="P22" s="5"/>
      <c r="Q22" s="2"/>
      <c r="R22" s="2"/>
      <c r="W22" s="4"/>
      <c r="Y22" s="5"/>
      <c r="Z22" s="2"/>
      <c r="AA22" s="2"/>
      <c r="AH22" s="4"/>
      <c r="AJ22" s="5"/>
      <c r="AK22" s="2"/>
      <c r="AL22" s="2"/>
      <c r="AQ22" s="4"/>
      <c r="AS22" s="5"/>
      <c r="AT22" s="2"/>
      <c r="AU22" s="2"/>
      <c r="BA22" s="4"/>
      <c r="BC22" s="5"/>
      <c r="BD22" s="2"/>
      <c r="BE22" s="2"/>
    </row>
    <row r="23" spans="2:57" x14ac:dyDescent="0.25">
      <c r="B23" s="4">
        <v>46039</v>
      </c>
      <c r="C23" t="s">
        <v>7</v>
      </c>
      <c r="E23" s="18"/>
      <c r="F23" s="18"/>
      <c r="G23">
        <f t="shared" si="0"/>
        <v>0</v>
      </c>
      <c r="N23" s="4"/>
      <c r="P23" s="5"/>
      <c r="Q23" s="2"/>
      <c r="R23" s="2"/>
      <c r="W23" s="4"/>
      <c r="Y23" s="5"/>
      <c r="Z23" s="2"/>
      <c r="AA23" s="2"/>
      <c r="AH23" s="4"/>
      <c r="AJ23" s="5"/>
      <c r="AK23" s="2"/>
      <c r="AL23" s="2"/>
      <c r="AQ23" s="4"/>
      <c r="AS23" s="5"/>
      <c r="AT23" s="2"/>
      <c r="AU23" s="2"/>
      <c r="BA23" s="4"/>
      <c r="BC23" s="5"/>
      <c r="BD23" s="2"/>
      <c r="BE23" s="2"/>
    </row>
    <row r="24" spans="2:57" x14ac:dyDescent="0.25">
      <c r="B24" s="4">
        <v>46040</v>
      </c>
      <c r="C24" t="s">
        <v>8</v>
      </c>
      <c r="E24" s="18"/>
      <c r="F24" s="18"/>
      <c r="G24">
        <f t="shared" si="0"/>
        <v>0</v>
      </c>
      <c r="N24" s="4"/>
      <c r="P24" s="5"/>
      <c r="Q24" s="2"/>
      <c r="R24" s="2"/>
      <c r="W24" s="4"/>
      <c r="Y24" s="5"/>
      <c r="Z24" s="2"/>
      <c r="AA24" s="2"/>
      <c r="AH24" s="4"/>
      <c r="AJ24" s="5"/>
      <c r="AK24" s="2"/>
      <c r="AL24" s="2"/>
      <c r="AQ24" s="4"/>
      <c r="AS24" s="5"/>
      <c r="AT24" s="2"/>
      <c r="AU24" s="2"/>
      <c r="BA24" s="4"/>
      <c r="BC24" s="5"/>
      <c r="BD24" s="2"/>
      <c r="BE24" s="2"/>
    </row>
    <row r="25" spans="2:57" x14ac:dyDescent="0.25">
      <c r="B25" s="4">
        <v>46041</v>
      </c>
      <c r="C25" t="s">
        <v>9</v>
      </c>
      <c r="E25" s="18"/>
      <c r="F25" s="18"/>
      <c r="G25">
        <f t="shared" si="0"/>
        <v>0</v>
      </c>
      <c r="N25" s="4"/>
      <c r="P25" s="5"/>
      <c r="Q25" s="2"/>
      <c r="R25" s="2"/>
      <c r="W25" s="4"/>
      <c r="Y25" s="5"/>
      <c r="Z25" s="2"/>
      <c r="AA25" s="2"/>
      <c r="AH25" s="4"/>
      <c r="AJ25" s="5"/>
      <c r="AK25" s="2"/>
      <c r="AL25" s="2"/>
      <c r="AQ25" s="4"/>
      <c r="AS25" s="5"/>
      <c r="AT25" s="2"/>
      <c r="AU25" s="2"/>
      <c r="BA25" s="4"/>
      <c r="BC25" s="5"/>
      <c r="BD25" s="2"/>
      <c r="BE25" s="2"/>
    </row>
    <row r="26" spans="2:57" x14ac:dyDescent="0.25">
      <c r="B26" s="4">
        <v>46042</v>
      </c>
      <c r="C26" t="s">
        <v>10</v>
      </c>
      <c r="E26" s="18"/>
      <c r="F26" s="18"/>
      <c r="G26">
        <f t="shared" si="0"/>
        <v>0</v>
      </c>
      <c r="N26" s="4"/>
      <c r="P26" s="5"/>
      <c r="Q26" s="2"/>
      <c r="R26" s="2"/>
      <c r="W26" s="4"/>
      <c r="Y26" s="5"/>
      <c r="Z26" s="2"/>
      <c r="AA26" s="2"/>
      <c r="AH26" s="4"/>
      <c r="AJ26" s="5"/>
      <c r="AK26" s="2"/>
      <c r="AL26" s="2"/>
      <c r="AQ26" s="4"/>
      <c r="AS26" s="5"/>
      <c r="AT26" s="2"/>
      <c r="AU26" s="2"/>
      <c r="BA26" s="4"/>
      <c r="BC26" s="5"/>
      <c r="BD26" s="2"/>
      <c r="BE26" s="2"/>
    </row>
    <row r="27" spans="2:57" x14ac:dyDescent="0.25">
      <c r="B27" s="4">
        <v>46043</v>
      </c>
      <c r="C27" t="s">
        <v>11</v>
      </c>
      <c r="E27" s="18"/>
      <c r="F27" s="18"/>
      <c r="G27">
        <f t="shared" si="0"/>
        <v>0</v>
      </c>
      <c r="N27" s="4"/>
      <c r="P27" s="5"/>
      <c r="Q27" s="2"/>
      <c r="R27" s="2"/>
      <c r="W27" s="4"/>
      <c r="Y27" s="5"/>
      <c r="Z27" s="2"/>
      <c r="AA27" s="2"/>
      <c r="AH27" s="4"/>
      <c r="AJ27" s="5"/>
      <c r="AK27" s="2"/>
      <c r="AL27" s="2"/>
      <c r="AQ27" s="4"/>
      <c r="AS27" s="5"/>
      <c r="AT27" s="2"/>
      <c r="AU27" s="2"/>
      <c r="BA27" s="4"/>
      <c r="BC27" s="5"/>
      <c r="BD27" s="2"/>
      <c r="BE27" s="2"/>
    </row>
    <row r="28" spans="2:57" x14ac:dyDescent="0.25">
      <c r="B28" s="4">
        <v>46044</v>
      </c>
      <c r="C28" t="s">
        <v>12</v>
      </c>
      <c r="E28" s="18"/>
      <c r="F28" s="18"/>
      <c r="G28">
        <f t="shared" si="0"/>
        <v>0</v>
      </c>
      <c r="N28" s="4"/>
      <c r="P28" s="5"/>
      <c r="Q28" s="2"/>
      <c r="R28" s="2"/>
      <c r="W28" s="4"/>
      <c r="Y28" s="5"/>
      <c r="Z28" s="2"/>
      <c r="AA28" s="2"/>
      <c r="AH28" s="4"/>
      <c r="AJ28" s="5"/>
      <c r="AK28" s="2"/>
      <c r="AL28" s="2"/>
      <c r="AQ28" s="4"/>
      <c r="AS28" s="5"/>
      <c r="AT28" s="2"/>
      <c r="AU28" s="2"/>
      <c r="BA28" s="4"/>
      <c r="BC28" s="5"/>
      <c r="BD28" s="2"/>
      <c r="BE28" s="2"/>
    </row>
    <row r="29" spans="2:57" x14ac:dyDescent="0.25">
      <c r="B29" s="4">
        <v>46045</v>
      </c>
      <c r="C29" t="s">
        <v>6</v>
      </c>
      <c r="E29" s="18"/>
      <c r="F29" s="18"/>
      <c r="G29">
        <f t="shared" si="0"/>
        <v>0</v>
      </c>
      <c r="N29" s="4"/>
      <c r="P29" s="5"/>
      <c r="Q29" s="2"/>
      <c r="R29" s="2"/>
      <c r="W29" s="4"/>
      <c r="Y29" s="5"/>
      <c r="Z29" s="2"/>
      <c r="AA29" s="2"/>
      <c r="AH29" s="4"/>
      <c r="AJ29" s="5"/>
      <c r="AK29" s="2"/>
      <c r="AL29" s="2"/>
      <c r="AQ29" s="4"/>
      <c r="AS29" s="5"/>
      <c r="AT29" s="2"/>
      <c r="AU29" s="2"/>
      <c r="BA29" s="4"/>
      <c r="BC29" s="5"/>
      <c r="BD29" s="2"/>
      <c r="BE29" s="2"/>
    </row>
    <row r="30" spans="2:57" x14ac:dyDescent="0.25">
      <c r="B30" s="4">
        <v>46046</v>
      </c>
      <c r="C30" t="s">
        <v>7</v>
      </c>
      <c r="E30" s="18"/>
      <c r="F30" s="18"/>
      <c r="G30">
        <f t="shared" si="0"/>
        <v>0</v>
      </c>
      <c r="N30" s="4"/>
      <c r="P30" s="5"/>
      <c r="Q30" s="2"/>
      <c r="R30" s="2"/>
      <c r="W30" s="4"/>
      <c r="Y30" s="5"/>
      <c r="Z30" s="2"/>
      <c r="AA30" s="2"/>
      <c r="AH30" s="4"/>
      <c r="AJ30" s="5"/>
      <c r="AK30" s="2"/>
      <c r="AL30" s="2"/>
      <c r="AQ30" s="4"/>
      <c r="AS30" s="5"/>
      <c r="AT30" s="2"/>
      <c r="AU30" s="2"/>
      <c r="BA30" s="4"/>
      <c r="BC30" s="5"/>
      <c r="BD30" s="2"/>
      <c r="BE30" s="2"/>
    </row>
    <row r="31" spans="2:57" x14ac:dyDescent="0.25">
      <c r="B31" s="4">
        <v>46047</v>
      </c>
      <c r="C31" t="s">
        <v>8</v>
      </c>
      <c r="E31" s="18"/>
      <c r="F31" s="18"/>
      <c r="G31">
        <f t="shared" si="0"/>
        <v>0</v>
      </c>
      <c r="N31" s="4"/>
      <c r="P31" s="5"/>
      <c r="Q31" s="2"/>
      <c r="R31" s="2"/>
      <c r="W31" s="4"/>
      <c r="Y31" s="5"/>
      <c r="Z31" s="2"/>
      <c r="AA31" s="2"/>
      <c r="AH31" s="4"/>
      <c r="AJ31" s="5"/>
      <c r="AK31" s="2"/>
      <c r="AL31" s="2"/>
      <c r="AQ31" s="4"/>
      <c r="AS31" s="5"/>
      <c r="AT31" s="2"/>
      <c r="AU31" s="2"/>
      <c r="BA31" s="4"/>
      <c r="BC31" s="5"/>
      <c r="BD31" s="2"/>
      <c r="BE31" s="2"/>
    </row>
    <row r="32" spans="2:57" x14ac:dyDescent="0.25">
      <c r="B32" s="4">
        <v>46048</v>
      </c>
      <c r="C32" t="s">
        <v>9</v>
      </c>
      <c r="E32" s="18"/>
      <c r="F32" s="18"/>
      <c r="G32">
        <f t="shared" si="0"/>
        <v>0</v>
      </c>
      <c r="N32" s="4"/>
      <c r="P32" s="5"/>
      <c r="Q32" s="2"/>
      <c r="R32" s="2"/>
      <c r="W32" s="4"/>
      <c r="Y32" s="5"/>
      <c r="Z32" s="2"/>
      <c r="AA32" s="2"/>
      <c r="AH32" s="4"/>
      <c r="AJ32" s="5"/>
      <c r="AK32" s="2"/>
      <c r="AL32" s="2"/>
      <c r="AQ32" s="4"/>
      <c r="AS32" s="5"/>
      <c r="AT32" s="2"/>
      <c r="AU32" s="2"/>
      <c r="BA32" s="4"/>
      <c r="BC32" s="5"/>
      <c r="BD32" s="2"/>
      <c r="BE32" s="2"/>
    </row>
    <row r="33" spans="2:57" x14ac:dyDescent="0.25">
      <c r="B33" s="4">
        <v>46049</v>
      </c>
      <c r="C33" t="s">
        <v>10</v>
      </c>
      <c r="E33" s="18"/>
      <c r="F33" s="18"/>
      <c r="G33">
        <f t="shared" si="0"/>
        <v>0</v>
      </c>
      <c r="N33" s="4"/>
      <c r="P33" s="5"/>
      <c r="Q33" s="2"/>
      <c r="R33" s="2"/>
      <c r="W33" s="4"/>
      <c r="Y33" s="5"/>
      <c r="Z33" s="2"/>
      <c r="AA33" s="2"/>
      <c r="AH33" s="4"/>
      <c r="AJ33" s="5"/>
      <c r="AK33" s="2"/>
      <c r="AL33" s="2"/>
      <c r="AQ33" s="4"/>
      <c r="AS33" s="5"/>
      <c r="AT33" s="2"/>
      <c r="AU33" s="2"/>
      <c r="BA33" s="4"/>
      <c r="BC33" s="5"/>
      <c r="BD33" s="2"/>
      <c r="BE33" s="2"/>
    </row>
    <row r="34" spans="2:57" x14ac:dyDescent="0.25">
      <c r="B34" s="4">
        <v>46050</v>
      </c>
      <c r="C34" t="s">
        <v>11</v>
      </c>
      <c r="E34" s="18"/>
      <c r="F34" s="18"/>
      <c r="G34">
        <f t="shared" si="0"/>
        <v>0</v>
      </c>
      <c r="N34" s="4"/>
      <c r="P34" s="5"/>
      <c r="Q34" s="2"/>
      <c r="R34" s="2"/>
      <c r="W34" s="4"/>
      <c r="Y34" s="5"/>
      <c r="Z34" s="2"/>
      <c r="AA34" s="2"/>
      <c r="AH34" s="4"/>
      <c r="AJ34" s="5"/>
      <c r="AK34" s="2"/>
      <c r="AL34" s="2"/>
      <c r="AQ34" s="4"/>
      <c r="AS34" s="5"/>
      <c r="AT34" s="2"/>
      <c r="AU34" s="2"/>
      <c r="BA34" s="4"/>
      <c r="BC34" s="5"/>
      <c r="BD34" s="2"/>
      <c r="BE34" s="2"/>
    </row>
    <row r="35" spans="2:57" x14ac:dyDescent="0.25">
      <c r="B35" s="4">
        <v>46051</v>
      </c>
      <c r="C35" t="s">
        <v>12</v>
      </c>
      <c r="E35" s="18"/>
      <c r="F35" s="18"/>
      <c r="G35">
        <f t="shared" si="0"/>
        <v>0</v>
      </c>
      <c r="N35" s="4"/>
      <c r="P35" s="5"/>
      <c r="Q35" s="2"/>
      <c r="R35" s="2"/>
      <c r="W35" s="4"/>
      <c r="Y35" s="5"/>
      <c r="Z35" s="2"/>
      <c r="AA35" s="2"/>
      <c r="AH35" s="4"/>
      <c r="AJ35" s="5"/>
      <c r="AK35" s="2"/>
      <c r="AL35" s="2"/>
      <c r="AQ35" s="4"/>
      <c r="AS35" s="5"/>
      <c r="AT35" s="2"/>
      <c r="AU35" s="2"/>
      <c r="BA35" s="4"/>
      <c r="BC35" s="5"/>
      <c r="BD35" s="2"/>
      <c r="BE35" s="2"/>
    </row>
    <row r="36" spans="2:57" x14ac:dyDescent="0.25">
      <c r="B36" s="4">
        <v>46052</v>
      </c>
      <c r="C36" t="s">
        <v>6</v>
      </c>
      <c r="E36" s="18"/>
      <c r="F36" s="18"/>
      <c r="G36">
        <f t="shared" si="0"/>
        <v>0</v>
      </c>
      <c r="N36" s="4"/>
      <c r="P36" s="5"/>
      <c r="Q36" s="2"/>
      <c r="R36" s="2"/>
      <c r="W36" s="4"/>
      <c r="Y36" s="5"/>
      <c r="Z36" s="2"/>
      <c r="AA36" s="2"/>
      <c r="AH36" s="4"/>
      <c r="AJ36" s="5"/>
      <c r="AK36" s="2"/>
      <c r="AL36" s="2"/>
      <c r="AQ36" s="4"/>
      <c r="AS36" s="5"/>
      <c r="AT36" s="2"/>
      <c r="AU36" s="2"/>
      <c r="BA36" s="4"/>
      <c r="BC36" s="5"/>
      <c r="BD36" s="2"/>
      <c r="BE36" s="2"/>
    </row>
    <row r="37" spans="2:57" x14ac:dyDescent="0.25">
      <c r="B37" s="4">
        <v>46053</v>
      </c>
      <c r="C37" t="s">
        <v>7</v>
      </c>
      <c r="E37" s="13"/>
      <c r="F37" s="13"/>
      <c r="G37">
        <f t="shared" si="0"/>
        <v>0</v>
      </c>
      <c r="N37" s="4"/>
      <c r="P37" s="5"/>
      <c r="Q37" s="13"/>
      <c r="R37" s="13"/>
      <c r="W37" s="4"/>
      <c r="Y37" s="5"/>
      <c r="Z37" s="13"/>
      <c r="AA37" s="13"/>
      <c r="AH37" s="4"/>
      <c r="AJ37" s="5"/>
      <c r="AK37" s="13"/>
      <c r="AL37" s="13"/>
      <c r="AQ37" s="4"/>
      <c r="AS37" s="5"/>
      <c r="AT37" s="13"/>
      <c r="AU37" s="13"/>
      <c r="BA37" s="4"/>
      <c r="BC37" s="5"/>
      <c r="BD37" s="13"/>
      <c r="BE37" s="13"/>
    </row>
    <row r="38" spans="2:57" x14ac:dyDescent="0.25">
      <c r="B38" s="1"/>
      <c r="D38" s="5">
        <f>SUM(D7:D37)</f>
        <v>9</v>
      </c>
      <c r="E38" s="2">
        <f>SUM(E7:E37)</f>
        <v>49</v>
      </c>
      <c r="F38" s="2">
        <f>SUM(F7:F37)</f>
        <v>6050</v>
      </c>
      <c r="G38">
        <f>SUM(G7:G37)</f>
        <v>6050</v>
      </c>
    </row>
    <row r="39" spans="2:57" x14ac:dyDescent="0.25">
      <c r="B39" s="1"/>
      <c r="G39">
        <f>G38-F38</f>
        <v>0</v>
      </c>
    </row>
  </sheetData>
  <mergeCells count="12">
    <mergeCell ref="AZ4:BE4"/>
    <mergeCell ref="A2:F2"/>
    <mergeCell ref="M2:R2"/>
    <mergeCell ref="V2:AA2"/>
    <mergeCell ref="AG2:AL2"/>
    <mergeCell ref="AP2:AU2"/>
    <mergeCell ref="AZ2:BE2"/>
    <mergeCell ref="A4:F4"/>
    <mergeCell ref="M4:R4"/>
    <mergeCell ref="V4:AA4"/>
    <mergeCell ref="AG4:AL4"/>
    <mergeCell ref="AP4:AU4"/>
  </mergeCells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8BE8-9420-4FD5-A9CE-9BAE0E7B362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925C-939C-4FB5-8DB3-E82CFF71F666}">
  <dimension ref="A2:BE39"/>
  <sheetViews>
    <sheetView zoomScale="85" zoomScaleNormal="85" workbookViewId="0">
      <selection activeCell="F26" sqref="F26"/>
    </sheetView>
  </sheetViews>
  <sheetFormatPr defaultRowHeight="15" x14ac:dyDescent="0.25"/>
  <cols>
    <col min="1" max="2" width="16.85546875" customWidth="1"/>
    <col min="3" max="3" width="14" customWidth="1"/>
    <col min="4" max="4" width="19.85546875" style="5" customWidth="1"/>
    <col min="5" max="5" width="17" style="3" customWidth="1"/>
    <col min="6" max="6" width="13.28515625" style="3" customWidth="1"/>
    <col min="9" max="9" width="18.5703125" customWidth="1"/>
    <col min="12" max="12" width="9.140625" customWidth="1"/>
    <col min="13" max="13" width="15" customWidth="1"/>
    <col min="14" max="14" width="14.28515625" customWidth="1"/>
    <col min="15" max="15" width="13.85546875" customWidth="1"/>
    <col min="16" max="16" width="14.5703125" customWidth="1"/>
    <col min="17" max="17" width="11.42578125" customWidth="1"/>
    <col min="21" max="21" width="9.140625" customWidth="1"/>
    <col min="22" max="22" width="7" customWidth="1"/>
    <col min="23" max="23" width="13.5703125" customWidth="1"/>
    <col min="24" max="24" width="12.28515625" customWidth="1"/>
    <col min="34" max="34" width="15.7109375" customWidth="1"/>
    <col min="35" max="35" width="14.42578125" customWidth="1"/>
    <col min="43" max="43" width="17" customWidth="1"/>
    <col min="44" max="44" width="13.5703125" customWidth="1"/>
    <col min="45" max="45" width="12.140625" customWidth="1"/>
    <col min="46" max="46" width="13.5703125" customWidth="1"/>
    <col min="53" max="53" width="14.28515625" customWidth="1"/>
    <col min="54" max="54" width="14" customWidth="1"/>
    <col min="55" max="55" width="11.140625" customWidth="1"/>
    <col min="56" max="56" width="12.7109375" customWidth="1"/>
  </cols>
  <sheetData>
    <row r="2" spans="1:57" x14ac:dyDescent="0.25">
      <c r="A2" s="22" t="s">
        <v>27</v>
      </c>
      <c r="B2" s="22"/>
      <c r="C2" s="22"/>
      <c r="D2" s="22"/>
      <c r="E2" s="22"/>
      <c r="F2" s="22"/>
      <c r="M2" s="22"/>
      <c r="N2" s="22"/>
      <c r="O2" s="22"/>
      <c r="P2" s="22"/>
      <c r="Q2" s="22"/>
      <c r="R2" s="22"/>
      <c r="V2" s="22"/>
      <c r="W2" s="22"/>
      <c r="X2" s="22"/>
      <c r="Y2" s="22"/>
      <c r="Z2" s="22"/>
      <c r="AA2" s="22"/>
      <c r="AG2" s="22"/>
      <c r="AH2" s="22"/>
      <c r="AI2" s="22"/>
      <c r="AJ2" s="22"/>
      <c r="AK2" s="22"/>
      <c r="AL2" s="22"/>
      <c r="AP2" s="22"/>
      <c r="AQ2" s="22"/>
      <c r="AR2" s="22"/>
      <c r="AS2" s="22"/>
      <c r="AT2" s="22"/>
      <c r="AU2" s="22"/>
      <c r="AZ2" s="22"/>
      <c r="BA2" s="22"/>
      <c r="BB2" s="22"/>
      <c r="BC2" s="22"/>
      <c r="BD2" s="22"/>
      <c r="BE2" s="22"/>
    </row>
    <row r="3" spans="1:57" x14ac:dyDescent="0.25">
      <c r="P3" s="5"/>
      <c r="Q3" s="3"/>
      <c r="R3" s="3"/>
      <c r="Y3" s="5"/>
      <c r="Z3" s="3"/>
      <c r="AA3" s="3"/>
      <c r="AJ3" s="5"/>
      <c r="AK3" s="3"/>
      <c r="AL3" s="3"/>
      <c r="AS3" s="5"/>
      <c r="AT3" s="3"/>
      <c r="AU3" s="3"/>
      <c r="BC3" s="5"/>
      <c r="BD3" s="3"/>
      <c r="BE3" s="3"/>
    </row>
    <row r="4" spans="1:57" x14ac:dyDescent="0.25">
      <c r="A4" s="21" t="s">
        <v>15</v>
      </c>
      <c r="B4" s="21"/>
      <c r="C4" s="21"/>
      <c r="D4" s="21"/>
      <c r="E4" s="21"/>
      <c r="F4" s="21"/>
      <c r="M4" s="21"/>
      <c r="N4" s="21"/>
      <c r="O4" s="21"/>
      <c r="P4" s="21"/>
      <c r="Q4" s="21"/>
      <c r="R4" s="21"/>
      <c r="V4" s="23"/>
      <c r="W4" s="23"/>
      <c r="X4" s="23"/>
      <c r="Y4" s="23"/>
      <c r="Z4" s="23"/>
      <c r="AA4" s="23"/>
      <c r="AG4" s="21"/>
      <c r="AH4" s="21"/>
      <c r="AI4" s="21"/>
      <c r="AJ4" s="21"/>
      <c r="AK4" s="21"/>
      <c r="AL4" s="21"/>
      <c r="AP4" s="21"/>
      <c r="AQ4" s="21"/>
      <c r="AR4" s="21"/>
      <c r="AS4" s="21"/>
      <c r="AT4" s="21"/>
      <c r="AU4" s="21"/>
      <c r="AZ4" s="21"/>
      <c r="BA4" s="21"/>
      <c r="BB4" s="21"/>
      <c r="BC4" s="21"/>
      <c r="BD4" s="21"/>
      <c r="BE4" s="21"/>
    </row>
    <row r="5" spans="1:57" x14ac:dyDescent="0.25">
      <c r="P5" s="5"/>
      <c r="Q5" s="3"/>
      <c r="R5" s="3"/>
      <c r="Y5" s="5"/>
      <c r="Z5" s="3"/>
      <c r="AA5" s="3"/>
      <c r="AG5" s="6"/>
      <c r="AH5" s="6"/>
      <c r="AI5" s="6"/>
      <c r="AJ5" s="7"/>
      <c r="AK5" s="8"/>
      <c r="AL5" s="8"/>
      <c r="AS5" s="5"/>
      <c r="AT5" s="3"/>
      <c r="AU5" s="3"/>
      <c r="BC5" s="5"/>
      <c r="BD5" s="3"/>
      <c r="BE5" s="3"/>
    </row>
    <row r="6" spans="1:57" x14ac:dyDescent="0.25">
      <c r="B6" t="s">
        <v>0</v>
      </c>
      <c r="C6" t="s">
        <v>1</v>
      </c>
      <c r="D6" s="5" t="s">
        <v>2</v>
      </c>
      <c r="E6" s="3" t="s">
        <v>3</v>
      </c>
      <c r="F6" s="3" t="s">
        <v>4</v>
      </c>
      <c r="G6" t="s">
        <v>14</v>
      </c>
      <c r="I6" t="s">
        <v>19</v>
      </c>
      <c r="P6" s="5"/>
      <c r="Q6" s="3"/>
      <c r="R6" s="3"/>
      <c r="Y6" s="5"/>
      <c r="Z6" s="3"/>
      <c r="AA6" s="3"/>
      <c r="AJ6" s="5"/>
      <c r="AK6" s="3"/>
      <c r="AL6" s="3"/>
      <c r="AS6" s="5"/>
      <c r="AT6" s="3"/>
      <c r="AU6" s="3"/>
      <c r="BC6" s="5"/>
      <c r="BD6" s="3"/>
      <c r="BE6" s="3"/>
    </row>
    <row r="7" spans="1:57" x14ac:dyDescent="0.25">
      <c r="B7" s="4">
        <v>45992</v>
      </c>
      <c r="C7" t="s">
        <v>9</v>
      </c>
      <c r="G7">
        <f>(D7*8+E7)*56.25</f>
        <v>0</v>
      </c>
      <c r="N7" s="4"/>
      <c r="P7" s="5"/>
      <c r="Q7" s="3"/>
      <c r="R7" s="3"/>
      <c r="W7" s="4"/>
      <c r="Y7" s="5"/>
      <c r="Z7" s="3"/>
      <c r="AA7" s="3"/>
      <c r="AH7" s="4"/>
      <c r="AJ7" s="5"/>
      <c r="AK7" s="3"/>
      <c r="AL7" s="3"/>
      <c r="AQ7" s="4"/>
      <c r="AS7" s="5"/>
      <c r="AT7" s="3"/>
      <c r="AU7" s="3"/>
      <c r="BA7" s="4"/>
      <c r="BC7" s="5"/>
      <c r="BD7" s="3"/>
      <c r="BE7" s="3"/>
    </row>
    <row r="8" spans="1:57" x14ac:dyDescent="0.25">
      <c r="B8" s="4">
        <v>45993</v>
      </c>
      <c r="C8" t="s">
        <v>10</v>
      </c>
      <c r="E8" s="13"/>
      <c r="F8" s="13"/>
      <c r="G8">
        <f t="shared" ref="G8:G37" si="0">(D8*8+E8)*56.25</f>
        <v>0</v>
      </c>
      <c r="N8" s="4"/>
      <c r="P8" s="5"/>
      <c r="Q8" s="3"/>
      <c r="R8" s="3"/>
      <c r="W8" s="4"/>
      <c r="Y8" s="5"/>
      <c r="Z8" s="3"/>
      <c r="AA8" s="3"/>
      <c r="AH8" s="4"/>
      <c r="AJ8" s="5"/>
      <c r="AK8" s="3"/>
      <c r="AL8" s="3"/>
      <c r="AQ8" s="4"/>
      <c r="AS8" s="5"/>
      <c r="AT8" s="3"/>
      <c r="AU8" s="3"/>
      <c r="BA8" s="4"/>
      <c r="BC8" s="5"/>
      <c r="BD8" s="3"/>
      <c r="BE8" s="3"/>
    </row>
    <row r="9" spans="1:57" x14ac:dyDescent="0.25">
      <c r="B9" s="4">
        <v>45994</v>
      </c>
      <c r="C9" t="s">
        <v>11</v>
      </c>
      <c r="E9" s="13"/>
      <c r="F9" s="13"/>
      <c r="G9">
        <f t="shared" si="0"/>
        <v>0</v>
      </c>
      <c r="N9" s="4"/>
      <c r="P9" s="5"/>
      <c r="Q9" s="3"/>
      <c r="R9" s="3"/>
      <c r="W9" s="4"/>
      <c r="Y9" s="5"/>
      <c r="Z9" s="3"/>
      <c r="AA9" s="3"/>
      <c r="AH9" s="4"/>
      <c r="AJ9" s="5"/>
      <c r="AK9" s="3"/>
      <c r="AL9" s="3"/>
      <c r="AQ9" s="4"/>
      <c r="AS9" s="5"/>
      <c r="AT9" s="3"/>
      <c r="AU9" s="3"/>
      <c r="BA9" s="4"/>
      <c r="BC9" s="5"/>
      <c r="BD9" s="3"/>
      <c r="BE9" s="3"/>
    </row>
    <row r="10" spans="1:57" x14ac:dyDescent="0.25">
      <c r="B10" s="4">
        <v>45995</v>
      </c>
      <c r="C10" t="s">
        <v>12</v>
      </c>
      <c r="E10" s="13"/>
      <c r="F10" s="13"/>
      <c r="G10">
        <f t="shared" si="0"/>
        <v>0</v>
      </c>
      <c r="N10" s="4"/>
      <c r="P10" s="5"/>
      <c r="Q10" s="3"/>
      <c r="R10" s="3"/>
      <c r="W10" s="4"/>
      <c r="Y10" s="5"/>
      <c r="Z10" s="3"/>
      <c r="AA10" s="3"/>
      <c r="AH10" s="4"/>
      <c r="AJ10" s="5"/>
      <c r="AK10" s="3"/>
      <c r="AL10" s="3"/>
      <c r="AQ10" s="4"/>
      <c r="AS10" s="5"/>
      <c r="AT10" s="3"/>
      <c r="AU10" s="3"/>
      <c r="BA10" s="4"/>
      <c r="BC10" s="5"/>
      <c r="BD10" s="3"/>
      <c r="BE10" s="3"/>
    </row>
    <row r="11" spans="1:57" x14ac:dyDescent="0.25">
      <c r="B11" s="4">
        <v>45996</v>
      </c>
      <c r="C11" t="s">
        <v>6</v>
      </c>
      <c r="E11" s="13"/>
      <c r="F11" s="13"/>
      <c r="G11">
        <f t="shared" si="0"/>
        <v>0</v>
      </c>
      <c r="N11" s="4"/>
      <c r="P11" s="5"/>
      <c r="Q11" s="3"/>
      <c r="R11" s="3"/>
      <c r="W11" s="4"/>
      <c r="Y11" s="5"/>
      <c r="Z11" s="3"/>
      <c r="AA11" s="3"/>
      <c r="AH11" s="4"/>
      <c r="AJ11" s="5"/>
      <c r="AK11" s="3"/>
      <c r="AL11" s="3"/>
      <c r="AQ11" s="4"/>
      <c r="AS11" s="5"/>
      <c r="AT11" s="3"/>
      <c r="AU11" s="3"/>
      <c r="BA11" s="4"/>
      <c r="BC11" s="5"/>
      <c r="BD11" s="3"/>
      <c r="BE11" s="3"/>
    </row>
    <row r="12" spans="1:57" x14ac:dyDescent="0.25">
      <c r="B12" s="4">
        <v>45997</v>
      </c>
      <c r="C12" t="s">
        <v>7</v>
      </c>
      <c r="E12" s="13"/>
      <c r="F12" s="13"/>
      <c r="G12">
        <f t="shared" si="0"/>
        <v>0</v>
      </c>
      <c r="N12" s="4"/>
      <c r="P12" s="5"/>
      <c r="Q12" s="3"/>
      <c r="R12" s="3"/>
      <c r="W12" s="4"/>
      <c r="Y12" s="5"/>
      <c r="Z12" s="3"/>
      <c r="AA12" s="3"/>
      <c r="AH12" s="4"/>
      <c r="AJ12" s="5"/>
      <c r="AK12" s="3"/>
      <c r="AL12" s="3"/>
      <c r="AQ12" s="4"/>
      <c r="AS12" s="5"/>
      <c r="AT12" s="3"/>
      <c r="AU12" s="3"/>
      <c r="BA12" s="4"/>
      <c r="BC12" s="5"/>
      <c r="BD12" s="3"/>
      <c r="BE12" s="3"/>
    </row>
    <row r="13" spans="1:57" x14ac:dyDescent="0.25">
      <c r="B13" s="4">
        <v>45998</v>
      </c>
      <c r="C13" t="s">
        <v>8</v>
      </c>
      <c r="E13" s="13"/>
      <c r="F13" s="13"/>
      <c r="G13">
        <f t="shared" si="0"/>
        <v>0</v>
      </c>
      <c r="N13" s="4"/>
      <c r="P13" s="5"/>
      <c r="Q13" s="3"/>
      <c r="R13" s="3"/>
      <c r="W13" s="4"/>
      <c r="Y13" s="5"/>
      <c r="Z13" s="3"/>
      <c r="AA13" s="3"/>
      <c r="AH13" s="4"/>
      <c r="AJ13" s="5"/>
      <c r="AK13" s="3"/>
      <c r="AL13" s="3"/>
      <c r="AQ13" s="4"/>
      <c r="AS13" s="5"/>
      <c r="AT13" s="3"/>
      <c r="AU13" s="3"/>
      <c r="BA13" s="4"/>
      <c r="BC13" s="5"/>
      <c r="BD13" s="3"/>
      <c r="BE13" s="3"/>
    </row>
    <row r="14" spans="1:57" x14ac:dyDescent="0.25">
      <c r="B14" s="4">
        <v>45999</v>
      </c>
      <c r="C14" t="s">
        <v>9</v>
      </c>
      <c r="E14" s="13"/>
      <c r="F14" s="13"/>
      <c r="G14">
        <f t="shared" si="0"/>
        <v>0</v>
      </c>
      <c r="N14" s="4"/>
      <c r="P14" s="5"/>
      <c r="Q14" s="3"/>
      <c r="R14" s="3"/>
      <c r="W14" s="4"/>
      <c r="Y14" s="5"/>
      <c r="Z14" s="3"/>
      <c r="AA14" s="3"/>
      <c r="AH14" s="4"/>
      <c r="AJ14" s="5"/>
      <c r="AK14" s="3"/>
      <c r="AL14" s="3"/>
      <c r="AQ14" s="4"/>
      <c r="AS14" s="5"/>
      <c r="AT14" s="3"/>
      <c r="AU14" s="3"/>
      <c r="BA14" s="4"/>
      <c r="BC14" s="5"/>
      <c r="BD14" s="3"/>
      <c r="BE14" s="3"/>
    </row>
    <row r="15" spans="1:57" x14ac:dyDescent="0.25">
      <c r="B15" s="4">
        <v>46000</v>
      </c>
      <c r="C15" t="s">
        <v>10</v>
      </c>
      <c r="E15" s="13"/>
      <c r="F15" s="13"/>
      <c r="G15">
        <f t="shared" si="0"/>
        <v>0</v>
      </c>
      <c r="N15" s="4"/>
      <c r="P15" s="5"/>
      <c r="Q15" s="3"/>
      <c r="R15" s="3"/>
      <c r="W15" s="4"/>
      <c r="Y15" s="5"/>
      <c r="Z15" s="3"/>
      <c r="AA15" s="3"/>
      <c r="AH15" s="4"/>
      <c r="AJ15" s="5"/>
      <c r="AK15" s="3"/>
      <c r="AL15" s="3"/>
      <c r="AQ15" s="4"/>
      <c r="AS15" s="5"/>
      <c r="AT15" s="3"/>
      <c r="AU15" s="3"/>
      <c r="BA15" s="4"/>
      <c r="BC15" s="5"/>
      <c r="BD15" s="3"/>
      <c r="BE15" s="3"/>
    </row>
    <row r="16" spans="1:57" x14ac:dyDescent="0.25">
      <c r="B16" s="4">
        <v>46001</v>
      </c>
      <c r="C16" t="s">
        <v>11</v>
      </c>
      <c r="E16" s="13"/>
      <c r="F16" s="13"/>
      <c r="G16">
        <f t="shared" si="0"/>
        <v>0</v>
      </c>
      <c r="N16" s="4"/>
      <c r="P16" s="5"/>
      <c r="Q16" s="3"/>
      <c r="R16" s="3"/>
      <c r="W16" s="4"/>
      <c r="Y16" s="5"/>
      <c r="Z16" s="3"/>
      <c r="AA16" s="3"/>
      <c r="AH16" s="4"/>
      <c r="AJ16" s="5"/>
      <c r="AK16" s="3"/>
      <c r="AL16" s="3"/>
      <c r="AQ16" s="4"/>
      <c r="AS16" s="5"/>
      <c r="AT16" s="3"/>
      <c r="AU16" s="3"/>
      <c r="BA16" s="4"/>
      <c r="BC16" s="5"/>
      <c r="BD16" s="3"/>
      <c r="BE16" s="3"/>
    </row>
    <row r="17" spans="2:57" x14ac:dyDescent="0.25">
      <c r="B17" s="4">
        <v>46002</v>
      </c>
      <c r="C17" t="s">
        <v>12</v>
      </c>
      <c r="E17" s="13"/>
      <c r="F17" s="13"/>
      <c r="G17">
        <f t="shared" si="0"/>
        <v>0</v>
      </c>
      <c r="N17" s="4"/>
      <c r="P17" s="5"/>
      <c r="Q17" s="3"/>
      <c r="R17" s="3"/>
      <c r="W17" s="4"/>
      <c r="Y17" s="5"/>
      <c r="Z17" s="3"/>
      <c r="AA17" s="3"/>
      <c r="AH17" s="4"/>
      <c r="AJ17" s="5"/>
      <c r="AK17" s="3"/>
      <c r="AL17" s="3"/>
      <c r="AQ17" s="4"/>
      <c r="AS17" s="5"/>
      <c r="AT17" s="3"/>
      <c r="AU17" s="3"/>
      <c r="BA17" s="4"/>
      <c r="BC17" s="5"/>
      <c r="BD17" s="3"/>
      <c r="BE17" s="3"/>
    </row>
    <row r="18" spans="2:57" x14ac:dyDescent="0.25">
      <c r="B18" s="4">
        <v>46003</v>
      </c>
      <c r="C18" t="s">
        <v>6</v>
      </c>
      <c r="E18" s="13"/>
      <c r="F18" s="13"/>
      <c r="G18">
        <f t="shared" si="0"/>
        <v>0</v>
      </c>
      <c r="N18" s="4"/>
      <c r="P18" s="5"/>
      <c r="Q18" s="3"/>
      <c r="R18" s="3"/>
      <c r="W18" s="4"/>
      <c r="Y18" s="5"/>
      <c r="Z18" s="3"/>
      <c r="AA18" s="3"/>
      <c r="AH18" s="4"/>
      <c r="AJ18" s="5"/>
      <c r="AK18" s="3"/>
      <c r="AL18" s="3"/>
      <c r="AQ18" s="4"/>
      <c r="AS18" s="5"/>
      <c r="AT18" s="3"/>
      <c r="AU18" s="3"/>
      <c r="BA18" s="4"/>
      <c r="BC18" s="5"/>
      <c r="BD18" s="3"/>
      <c r="BE18" s="3"/>
    </row>
    <row r="19" spans="2:57" x14ac:dyDescent="0.25">
      <c r="B19" s="4">
        <v>46004</v>
      </c>
      <c r="C19" t="s">
        <v>7</v>
      </c>
      <c r="E19" s="13"/>
      <c r="F19" s="13"/>
      <c r="G19">
        <f t="shared" si="0"/>
        <v>0</v>
      </c>
      <c r="N19" s="4"/>
      <c r="P19" s="5"/>
      <c r="Q19" s="3"/>
      <c r="R19" s="3"/>
      <c r="W19" s="4"/>
      <c r="Y19" s="5"/>
      <c r="Z19" s="3"/>
      <c r="AA19" s="3"/>
      <c r="AH19" s="4"/>
      <c r="AJ19" s="5"/>
      <c r="AK19" s="3"/>
      <c r="AL19" s="3"/>
      <c r="AQ19" s="4"/>
      <c r="AS19" s="5"/>
      <c r="AT19" s="3"/>
      <c r="AU19" s="3"/>
      <c r="BA19" s="4"/>
      <c r="BC19" s="5"/>
      <c r="BD19" s="3"/>
      <c r="BE19" s="3"/>
    </row>
    <row r="20" spans="2:57" x14ac:dyDescent="0.25">
      <c r="B20" s="4">
        <v>46005</v>
      </c>
      <c r="C20" t="s">
        <v>8</v>
      </c>
      <c r="E20" s="13"/>
      <c r="F20" s="13">
        <v>15200</v>
      </c>
      <c r="G20">
        <f t="shared" si="0"/>
        <v>0</v>
      </c>
      <c r="I20" t="s">
        <v>36</v>
      </c>
      <c r="N20" s="4"/>
      <c r="P20" s="5"/>
      <c r="Q20" s="3"/>
      <c r="R20" s="3"/>
      <c r="W20" s="4"/>
      <c r="Y20" s="5"/>
      <c r="Z20" s="3"/>
      <c r="AA20" s="3"/>
      <c r="AH20" s="4"/>
      <c r="AJ20" s="5"/>
      <c r="AK20" s="3"/>
      <c r="AL20" s="3"/>
      <c r="AQ20" s="4"/>
      <c r="AS20" s="5"/>
      <c r="AT20" s="3"/>
      <c r="AU20" s="3"/>
      <c r="BA20" s="4"/>
      <c r="BC20" s="5"/>
      <c r="BD20" s="3"/>
      <c r="BE20" s="3"/>
    </row>
    <row r="21" spans="2:57" x14ac:dyDescent="0.25">
      <c r="B21" s="4">
        <v>46006</v>
      </c>
      <c r="C21" t="s">
        <v>9</v>
      </c>
      <c r="E21" s="13"/>
      <c r="F21" s="13"/>
      <c r="G21">
        <f t="shared" si="0"/>
        <v>0</v>
      </c>
      <c r="N21" s="4"/>
      <c r="P21" s="5"/>
      <c r="Q21" s="3"/>
      <c r="R21" s="3"/>
      <c r="W21" s="4"/>
      <c r="Y21" s="5"/>
      <c r="Z21" s="3"/>
      <c r="AA21" s="3"/>
      <c r="AH21" s="4"/>
      <c r="AJ21" s="5"/>
      <c r="AK21" s="3"/>
      <c r="AL21" s="3"/>
      <c r="AQ21" s="4"/>
      <c r="AS21" s="5"/>
      <c r="AT21" s="3"/>
      <c r="AU21" s="3"/>
      <c r="BA21" s="4"/>
      <c r="BC21" s="5"/>
      <c r="BD21" s="3"/>
      <c r="BE21" s="3"/>
    </row>
    <row r="22" spans="2:57" x14ac:dyDescent="0.25">
      <c r="B22" s="4">
        <v>46007</v>
      </c>
      <c r="C22" t="s">
        <v>10</v>
      </c>
      <c r="E22" s="13"/>
      <c r="F22" s="13"/>
      <c r="G22">
        <f t="shared" si="0"/>
        <v>0</v>
      </c>
      <c r="N22" s="4"/>
      <c r="P22" s="5"/>
      <c r="Q22" s="3"/>
      <c r="R22" s="3"/>
      <c r="W22" s="4"/>
      <c r="Y22" s="5"/>
      <c r="Z22" s="3"/>
      <c r="AA22" s="3"/>
      <c r="AH22" s="4"/>
      <c r="AJ22" s="5"/>
      <c r="AK22" s="3"/>
      <c r="AL22" s="3"/>
      <c r="AQ22" s="4"/>
      <c r="AS22" s="5"/>
      <c r="AT22" s="3"/>
      <c r="AU22" s="3"/>
      <c r="BA22" s="4"/>
      <c r="BC22" s="5"/>
      <c r="BD22" s="3"/>
      <c r="BE22" s="3"/>
    </row>
    <row r="23" spans="2:57" x14ac:dyDescent="0.25">
      <c r="B23" s="4">
        <v>46008</v>
      </c>
      <c r="C23" t="s">
        <v>11</v>
      </c>
      <c r="E23" s="13"/>
      <c r="F23" s="13"/>
      <c r="G23">
        <f t="shared" si="0"/>
        <v>0</v>
      </c>
      <c r="N23" s="4"/>
      <c r="P23" s="5"/>
      <c r="Q23" s="3"/>
      <c r="R23" s="3"/>
      <c r="W23" s="4"/>
      <c r="Y23" s="5"/>
      <c r="Z23" s="3"/>
      <c r="AA23" s="3"/>
      <c r="AH23" s="4"/>
      <c r="AJ23" s="5"/>
      <c r="AK23" s="3"/>
      <c r="AL23" s="3"/>
      <c r="AQ23" s="4"/>
      <c r="AS23" s="5"/>
      <c r="AT23" s="3"/>
      <c r="AU23" s="3"/>
      <c r="BA23" s="4"/>
      <c r="BC23" s="5"/>
      <c r="BD23" s="3"/>
      <c r="BE23" s="3"/>
    </row>
    <row r="24" spans="2:57" x14ac:dyDescent="0.25">
      <c r="B24" s="4">
        <v>46009</v>
      </c>
      <c r="C24" t="s">
        <v>12</v>
      </c>
      <c r="E24" s="13"/>
      <c r="F24" s="13"/>
      <c r="G24">
        <f t="shared" si="0"/>
        <v>0</v>
      </c>
      <c r="N24" s="4"/>
      <c r="P24" s="5"/>
      <c r="Q24" s="3"/>
      <c r="R24" s="3"/>
      <c r="W24" s="4"/>
      <c r="Y24" s="5"/>
      <c r="Z24" s="3"/>
      <c r="AA24" s="3"/>
      <c r="AH24" s="4"/>
      <c r="AJ24" s="5"/>
      <c r="AK24" s="3"/>
      <c r="AL24" s="3"/>
      <c r="AQ24" s="4"/>
      <c r="AS24" s="5"/>
      <c r="AT24" s="3"/>
      <c r="AU24" s="3"/>
      <c r="BA24" s="4"/>
      <c r="BC24" s="5"/>
      <c r="BD24" s="3"/>
      <c r="BE24" s="3"/>
    </row>
    <row r="25" spans="2:57" x14ac:dyDescent="0.25">
      <c r="B25" s="4">
        <v>46010</v>
      </c>
      <c r="C25" t="s">
        <v>6</v>
      </c>
      <c r="E25" s="13"/>
      <c r="F25" s="13"/>
      <c r="G25">
        <f t="shared" si="0"/>
        <v>0</v>
      </c>
      <c r="N25" s="4"/>
      <c r="P25" s="5"/>
      <c r="Q25" s="3"/>
      <c r="R25" s="3"/>
      <c r="W25" s="4"/>
      <c r="Y25" s="5"/>
      <c r="Z25" s="3"/>
      <c r="AA25" s="3"/>
      <c r="AH25" s="4"/>
      <c r="AJ25" s="5"/>
      <c r="AK25" s="3"/>
      <c r="AL25" s="3"/>
      <c r="AQ25" s="4"/>
      <c r="AS25" s="5"/>
      <c r="AT25" s="3"/>
      <c r="AU25" s="3"/>
      <c r="BA25" s="4"/>
      <c r="BC25" s="5"/>
      <c r="BD25" s="3"/>
      <c r="BE25" s="3"/>
    </row>
    <row r="26" spans="2:57" x14ac:dyDescent="0.25">
      <c r="B26" s="4">
        <v>46011</v>
      </c>
      <c r="C26" t="s">
        <v>7</v>
      </c>
      <c r="E26" s="13"/>
      <c r="F26" s="13"/>
      <c r="G26">
        <f t="shared" si="0"/>
        <v>0</v>
      </c>
      <c r="N26" s="4"/>
      <c r="P26" s="5"/>
      <c r="Q26" s="3"/>
      <c r="R26" s="3"/>
      <c r="W26" s="4"/>
      <c r="Y26" s="5"/>
      <c r="Z26" s="3"/>
      <c r="AA26" s="3"/>
      <c r="AH26" s="4"/>
      <c r="AJ26" s="5"/>
      <c r="AK26" s="3"/>
      <c r="AL26" s="3"/>
      <c r="AQ26" s="4"/>
      <c r="AS26" s="5"/>
      <c r="AT26" s="3"/>
      <c r="AU26" s="3"/>
      <c r="BA26" s="4"/>
      <c r="BC26" s="5"/>
      <c r="BD26" s="3"/>
      <c r="BE26" s="3"/>
    </row>
    <row r="27" spans="2:57" x14ac:dyDescent="0.25">
      <c r="B27" s="4">
        <v>46012</v>
      </c>
      <c r="C27" t="s">
        <v>8</v>
      </c>
      <c r="E27" s="13"/>
      <c r="F27" s="13"/>
      <c r="G27">
        <f t="shared" si="0"/>
        <v>0</v>
      </c>
      <c r="N27" s="4"/>
      <c r="P27" s="5"/>
      <c r="Q27" s="3"/>
      <c r="R27" s="3"/>
      <c r="W27" s="4"/>
      <c r="Y27" s="5"/>
      <c r="Z27" s="3"/>
      <c r="AA27" s="3"/>
      <c r="AH27" s="4"/>
      <c r="AJ27" s="5"/>
      <c r="AK27" s="3"/>
      <c r="AL27" s="3"/>
      <c r="AQ27" s="4"/>
      <c r="AS27" s="5"/>
      <c r="AT27" s="3"/>
      <c r="AU27" s="3"/>
      <c r="BA27" s="4"/>
      <c r="BC27" s="5"/>
      <c r="BD27" s="3"/>
      <c r="BE27" s="3"/>
    </row>
    <row r="28" spans="2:57" x14ac:dyDescent="0.25">
      <c r="B28" s="4">
        <v>46013</v>
      </c>
      <c r="C28" t="s">
        <v>9</v>
      </c>
      <c r="E28" s="13"/>
      <c r="F28" s="13"/>
      <c r="G28">
        <f t="shared" si="0"/>
        <v>0</v>
      </c>
      <c r="N28" s="4"/>
      <c r="P28" s="5"/>
      <c r="Q28" s="3"/>
      <c r="R28" s="3"/>
      <c r="W28" s="4"/>
      <c r="Y28" s="5"/>
      <c r="Z28" s="3"/>
      <c r="AA28" s="3"/>
      <c r="AH28" s="4"/>
      <c r="AJ28" s="5"/>
      <c r="AK28" s="3"/>
      <c r="AL28" s="3"/>
      <c r="AQ28" s="4"/>
      <c r="AS28" s="5"/>
      <c r="AT28" s="3"/>
      <c r="AU28" s="3"/>
      <c r="BA28" s="4"/>
      <c r="BC28" s="5"/>
      <c r="BD28" s="3"/>
      <c r="BE28" s="3"/>
    </row>
    <row r="29" spans="2:57" x14ac:dyDescent="0.25">
      <c r="B29" s="4">
        <v>46014</v>
      </c>
      <c r="C29" t="s">
        <v>10</v>
      </c>
      <c r="E29" s="13"/>
      <c r="F29" s="13"/>
      <c r="G29">
        <f t="shared" si="0"/>
        <v>0</v>
      </c>
      <c r="N29" s="4"/>
      <c r="P29" s="5"/>
      <c r="Q29" s="3"/>
      <c r="R29" s="3"/>
      <c r="W29" s="4"/>
      <c r="Y29" s="5"/>
      <c r="Z29" s="3"/>
      <c r="AA29" s="3"/>
      <c r="AH29" s="4"/>
      <c r="AJ29" s="5"/>
      <c r="AK29" s="3"/>
      <c r="AL29" s="3"/>
      <c r="AQ29" s="4"/>
      <c r="AS29" s="5"/>
      <c r="AT29" s="3"/>
      <c r="AU29" s="3"/>
      <c r="BA29" s="4"/>
      <c r="BC29" s="5"/>
      <c r="BD29" s="3"/>
      <c r="BE29" s="3"/>
    </row>
    <row r="30" spans="2:57" x14ac:dyDescent="0.25">
      <c r="B30" s="4">
        <v>46015</v>
      </c>
      <c r="C30" t="s">
        <v>11</v>
      </c>
      <c r="E30" s="13"/>
      <c r="F30" s="13"/>
      <c r="G30">
        <f t="shared" si="0"/>
        <v>0</v>
      </c>
      <c r="N30" s="4"/>
      <c r="P30" s="5"/>
      <c r="Q30" s="3"/>
      <c r="R30" s="3"/>
      <c r="W30" s="4"/>
      <c r="Y30" s="5"/>
      <c r="Z30" s="3"/>
      <c r="AA30" s="3"/>
      <c r="AH30" s="4"/>
      <c r="AJ30" s="5"/>
      <c r="AK30" s="3"/>
      <c r="AL30" s="3"/>
      <c r="AQ30" s="4"/>
      <c r="AS30" s="5"/>
      <c r="AT30" s="3"/>
      <c r="AU30" s="3"/>
      <c r="BA30" s="4"/>
      <c r="BC30" s="5"/>
      <c r="BD30" s="3"/>
      <c r="BE30" s="3"/>
    </row>
    <row r="31" spans="2:57" x14ac:dyDescent="0.25">
      <c r="B31" s="4">
        <v>46016</v>
      </c>
      <c r="C31" t="s">
        <v>12</v>
      </c>
      <c r="E31" s="13"/>
      <c r="F31" s="13"/>
      <c r="G31">
        <f t="shared" si="0"/>
        <v>0</v>
      </c>
      <c r="N31" s="4"/>
      <c r="P31" s="5"/>
      <c r="Q31" s="3"/>
      <c r="R31" s="3"/>
      <c r="W31" s="4"/>
      <c r="Y31" s="5"/>
      <c r="Z31" s="3"/>
      <c r="AA31" s="3"/>
      <c r="AH31" s="4"/>
      <c r="AJ31" s="5"/>
      <c r="AK31" s="3"/>
      <c r="AL31" s="3"/>
      <c r="AQ31" s="4"/>
      <c r="AS31" s="5"/>
      <c r="AT31" s="3"/>
      <c r="AU31" s="3"/>
      <c r="BA31" s="4"/>
      <c r="BC31" s="5"/>
      <c r="BD31" s="3"/>
      <c r="BE31" s="3"/>
    </row>
    <row r="32" spans="2:57" x14ac:dyDescent="0.25">
      <c r="B32" s="4">
        <v>46017</v>
      </c>
      <c r="C32" t="s">
        <v>6</v>
      </c>
      <c r="E32" s="13"/>
      <c r="F32" s="13"/>
      <c r="G32">
        <f t="shared" si="0"/>
        <v>0</v>
      </c>
      <c r="N32" s="4"/>
      <c r="P32" s="5"/>
      <c r="Q32" s="3"/>
      <c r="R32" s="3"/>
      <c r="W32" s="4"/>
      <c r="Y32" s="5"/>
      <c r="Z32" s="3"/>
      <c r="AA32" s="3"/>
      <c r="AH32" s="4"/>
      <c r="AJ32" s="5"/>
      <c r="AK32" s="3"/>
      <c r="AL32" s="3"/>
      <c r="AQ32" s="4"/>
      <c r="AS32" s="5"/>
      <c r="AT32" s="3"/>
      <c r="AU32" s="3"/>
      <c r="BA32" s="4"/>
      <c r="BC32" s="5"/>
      <c r="BD32" s="3"/>
      <c r="BE32" s="3"/>
    </row>
    <row r="33" spans="2:57" x14ac:dyDescent="0.25">
      <c r="B33" s="4">
        <v>46018</v>
      </c>
      <c r="C33" t="s">
        <v>7</v>
      </c>
      <c r="E33" s="13"/>
      <c r="F33" s="13"/>
      <c r="G33">
        <f t="shared" si="0"/>
        <v>0</v>
      </c>
      <c r="N33" s="4"/>
      <c r="P33" s="5"/>
      <c r="Q33" s="3"/>
      <c r="R33" s="3"/>
      <c r="W33" s="4"/>
      <c r="Y33" s="5"/>
      <c r="Z33" s="3"/>
      <c r="AA33" s="3"/>
      <c r="AH33" s="4"/>
      <c r="AJ33" s="5"/>
      <c r="AK33" s="3"/>
      <c r="AL33" s="3"/>
      <c r="AQ33" s="4"/>
      <c r="AS33" s="5"/>
      <c r="AT33" s="3"/>
      <c r="AU33" s="3"/>
      <c r="BA33" s="4"/>
      <c r="BC33" s="5"/>
      <c r="BD33" s="3"/>
      <c r="BE33" s="3"/>
    </row>
    <row r="34" spans="2:57" x14ac:dyDescent="0.25">
      <c r="B34" s="4">
        <v>46019</v>
      </c>
      <c r="C34" t="s">
        <v>8</v>
      </c>
      <c r="E34" s="13"/>
      <c r="F34" s="13"/>
      <c r="G34">
        <f t="shared" si="0"/>
        <v>0</v>
      </c>
      <c r="N34" s="4"/>
      <c r="P34" s="5"/>
      <c r="Q34" s="3"/>
      <c r="R34" s="3"/>
      <c r="W34" s="4"/>
      <c r="Y34" s="5"/>
      <c r="Z34" s="3"/>
      <c r="AA34" s="3"/>
      <c r="AH34" s="4"/>
      <c r="AJ34" s="5"/>
      <c r="AK34" s="3"/>
      <c r="AL34" s="3"/>
      <c r="AQ34" s="4"/>
      <c r="AS34" s="5"/>
      <c r="AT34" s="3"/>
      <c r="AU34" s="3"/>
      <c r="BA34" s="4"/>
      <c r="BC34" s="5"/>
      <c r="BD34" s="3"/>
      <c r="BE34" s="3"/>
    </row>
    <row r="35" spans="2:57" x14ac:dyDescent="0.25">
      <c r="B35" s="4">
        <v>46020</v>
      </c>
      <c r="C35" t="s">
        <v>9</v>
      </c>
      <c r="E35" s="13"/>
      <c r="F35" s="13"/>
      <c r="G35">
        <f t="shared" si="0"/>
        <v>0</v>
      </c>
      <c r="N35" s="4"/>
      <c r="P35" s="5"/>
      <c r="Q35" s="3"/>
      <c r="R35" s="3"/>
      <c r="W35" s="4"/>
      <c r="Y35" s="5"/>
      <c r="Z35" s="3"/>
      <c r="AA35" s="3"/>
      <c r="AH35" s="4"/>
      <c r="AJ35" s="5"/>
      <c r="AK35" s="3"/>
      <c r="AL35" s="3"/>
      <c r="AQ35" s="4"/>
      <c r="AS35" s="5"/>
      <c r="AT35" s="3"/>
      <c r="AU35" s="3"/>
      <c r="BA35" s="4"/>
      <c r="BC35" s="5"/>
      <c r="BD35" s="3"/>
      <c r="BE35" s="3"/>
    </row>
    <row r="36" spans="2:57" x14ac:dyDescent="0.25">
      <c r="B36" s="4">
        <v>46021</v>
      </c>
      <c r="C36" t="s">
        <v>10</v>
      </c>
      <c r="E36" s="13"/>
      <c r="F36" s="13"/>
      <c r="G36">
        <f t="shared" si="0"/>
        <v>0</v>
      </c>
      <c r="N36" s="4"/>
      <c r="P36" s="5"/>
      <c r="Q36" s="3"/>
      <c r="R36" s="3"/>
      <c r="W36" s="4"/>
      <c r="Y36" s="5"/>
      <c r="Z36" s="3"/>
      <c r="AA36" s="3"/>
      <c r="AH36" s="4"/>
      <c r="AJ36" s="5"/>
      <c r="AK36" s="3"/>
      <c r="AL36" s="3"/>
      <c r="AQ36" s="4"/>
      <c r="AS36" s="5"/>
      <c r="AT36" s="3"/>
      <c r="AU36" s="3"/>
      <c r="BA36" s="4"/>
      <c r="BC36" s="5"/>
      <c r="BD36" s="3"/>
      <c r="BE36" s="3"/>
    </row>
    <row r="37" spans="2:57" x14ac:dyDescent="0.25">
      <c r="B37" s="4">
        <v>46022</v>
      </c>
      <c r="C37" t="s">
        <v>11</v>
      </c>
      <c r="E37" s="13"/>
      <c r="F37" s="13"/>
      <c r="G37">
        <f t="shared" si="0"/>
        <v>0</v>
      </c>
      <c r="N37" s="4"/>
      <c r="P37" s="5"/>
      <c r="Q37" s="13"/>
      <c r="R37" s="13"/>
      <c r="W37" s="4"/>
      <c r="Y37" s="5"/>
      <c r="Z37" s="13"/>
      <c r="AA37" s="13"/>
      <c r="AH37" s="4"/>
      <c r="AJ37" s="5"/>
      <c r="AK37" s="13"/>
      <c r="AL37" s="13"/>
      <c r="AQ37" s="4"/>
      <c r="AS37" s="5"/>
      <c r="AT37" s="13"/>
      <c r="AU37" s="13"/>
      <c r="BA37" s="4"/>
      <c r="BC37" s="5"/>
      <c r="BD37" s="13"/>
      <c r="BE37" s="13"/>
    </row>
    <row r="38" spans="2:57" x14ac:dyDescent="0.25">
      <c r="B38" s="1"/>
      <c r="D38" s="5">
        <f>SUM(D7:D37)</f>
        <v>0</v>
      </c>
      <c r="E38" s="3">
        <f>SUM(E7:E37)</f>
        <v>0</v>
      </c>
      <c r="F38" s="3">
        <f>SUM(F7:F37)</f>
        <v>15200</v>
      </c>
      <c r="G38">
        <f>SUM(G7:G36)</f>
        <v>0</v>
      </c>
    </row>
    <row r="39" spans="2:57" x14ac:dyDescent="0.25">
      <c r="B39" s="1"/>
      <c r="G39">
        <f>G38-F38</f>
        <v>-15200</v>
      </c>
    </row>
  </sheetData>
  <mergeCells count="12">
    <mergeCell ref="AZ4:BE4"/>
    <mergeCell ref="A2:F2"/>
    <mergeCell ref="M2:R2"/>
    <mergeCell ref="V2:AA2"/>
    <mergeCell ref="AG2:AL2"/>
    <mergeCell ref="AP2:AU2"/>
    <mergeCell ref="AZ2:BE2"/>
    <mergeCell ref="A4:F4"/>
    <mergeCell ref="M4:R4"/>
    <mergeCell ref="V4:AA4"/>
    <mergeCell ref="AG4:AL4"/>
    <mergeCell ref="AP4:AU4"/>
  </mergeCells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AAD59-0134-4798-BEAF-703305A46D3D}">
  <dimension ref="A1:I39"/>
  <sheetViews>
    <sheetView workbookViewId="0">
      <selection activeCell="D7" sqref="D7"/>
    </sheetView>
  </sheetViews>
  <sheetFormatPr defaultRowHeight="15" x14ac:dyDescent="0.25"/>
  <cols>
    <col min="2" max="2" width="16.28515625" customWidth="1"/>
    <col min="3" max="3" width="14.5703125" customWidth="1"/>
    <col min="4" max="4" width="13.140625" customWidth="1"/>
    <col min="5" max="5" width="14.28515625" customWidth="1"/>
    <col min="6" max="6" width="15.140625" customWidth="1"/>
    <col min="7" max="7" width="13.42578125" customWidth="1"/>
  </cols>
  <sheetData>
    <row r="1" spans="1:9" x14ac:dyDescent="0.25">
      <c r="D1" s="5"/>
      <c r="E1" s="11"/>
      <c r="F1" s="11"/>
    </row>
    <row r="2" spans="1:9" x14ac:dyDescent="0.25">
      <c r="A2" s="22" t="s">
        <v>26</v>
      </c>
      <c r="B2" s="22"/>
      <c r="C2" s="22"/>
      <c r="D2" s="22"/>
      <c r="E2" s="22"/>
      <c r="F2" s="22"/>
    </row>
    <row r="3" spans="1:9" x14ac:dyDescent="0.25">
      <c r="D3" s="5"/>
      <c r="E3" s="11"/>
      <c r="F3" s="11"/>
    </row>
    <row r="4" spans="1:9" x14ac:dyDescent="0.25">
      <c r="A4" s="21" t="s">
        <v>24</v>
      </c>
      <c r="B4" s="21"/>
      <c r="C4" s="21"/>
      <c r="D4" s="21"/>
      <c r="E4" s="21"/>
      <c r="F4" s="21"/>
    </row>
    <row r="5" spans="1:9" x14ac:dyDescent="0.25">
      <c r="D5" s="5"/>
      <c r="E5" s="11"/>
      <c r="F5" s="11"/>
    </row>
    <row r="6" spans="1:9" x14ac:dyDescent="0.25">
      <c r="B6" t="s">
        <v>0</v>
      </c>
      <c r="C6" t="s">
        <v>1</v>
      </c>
      <c r="D6" s="5" t="s">
        <v>2</v>
      </c>
      <c r="E6" s="11" t="s">
        <v>3</v>
      </c>
      <c r="F6" s="11" t="s">
        <v>4</v>
      </c>
      <c r="G6" t="s">
        <v>14</v>
      </c>
      <c r="I6" t="s">
        <v>19</v>
      </c>
    </row>
    <row r="7" spans="1:9" x14ac:dyDescent="0.25">
      <c r="B7" s="4">
        <v>45992</v>
      </c>
      <c r="C7" t="s">
        <v>9</v>
      </c>
      <c r="D7" s="5"/>
      <c r="E7" s="11"/>
      <c r="F7" s="11"/>
      <c r="G7">
        <f>(D7*8+E7)*56.25</f>
        <v>0</v>
      </c>
    </row>
    <row r="8" spans="1:9" x14ac:dyDescent="0.25">
      <c r="B8" s="4">
        <v>45993</v>
      </c>
      <c r="C8" t="s">
        <v>10</v>
      </c>
      <c r="D8" s="5"/>
      <c r="E8" s="11"/>
      <c r="F8" s="11"/>
      <c r="G8">
        <f t="shared" ref="G8:G37" si="0">(D8*8+E8)*56.25</f>
        <v>0</v>
      </c>
    </row>
    <row r="9" spans="1:9" x14ac:dyDescent="0.25">
      <c r="B9" s="4">
        <v>45994</v>
      </c>
      <c r="C9" t="s">
        <v>11</v>
      </c>
      <c r="D9" s="5"/>
      <c r="E9" s="11"/>
      <c r="F9" s="11"/>
      <c r="G9">
        <f t="shared" si="0"/>
        <v>0</v>
      </c>
    </row>
    <row r="10" spans="1:9" x14ac:dyDescent="0.25">
      <c r="B10" s="4">
        <v>45995</v>
      </c>
      <c r="C10" t="s">
        <v>12</v>
      </c>
      <c r="D10" s="5"/>
      <c r="E10" s="11"/>
      <c r="F10" s="11"/>
      <c r="G10">
        <f t="shared" si="0"/>
        <v>0</v>
      </c>
    </row>
    <row r="11" spans="1:9" x14ac:dyDescent="0.25">
      <c r="B11" s="4">
        <v>45996</v>
      </c>
      <c r="C11" t="s">
        <v>6</v>
      </c>
      <c r="D11" s="5"/>
      <c r="E11" s="11"/>
      <c r="F11" s="11"/>
      <c r="G11">
        <f t="shared" si="0"/>
        <v>0</v>
      </c>
    </row>
    <row r="12" spans="1:9" x14ac:dyDescent="0.25">
      <c r="B12" s="4">
        <v>45997</v>
      </c>
      <c r="C12" t="s">
        <v>7</v>
      </c>
      <c r="D12" s="5"/>
      <c r="E12" s="11"/>
      <c r="F12" s="11"/>
      <c r="G12">
        <f t="shared" si="0"/>
        <v>0</v>
      </c>
    </row>
    <row r="13" spans="1:9" x14ac:dyDescent="0.25">
      <c r="B13" s="4">
        <v>45998</v>
      </c>
      <c r="C13" t="s">
        <v>8</v>
      </c>
      <c r="D13" s="5"/>
      <c r="E13" s="11"/>
      <c r="F13" s="11"/>
      <c r="G13">
        <f t="shared" si="0"/>
        <v>0</v>
      </c>
    </row>
    <row r="14" spans="1:9" x14ac:dyDescent="0.25">
      <c r="B14" s="4">
        <v>45999</v>
      </c>
      <c r="C14" t="s">
        <v>9</v>
      </c>
      <c r="D14" s="5"/>
      <c r="E14" s="11"/>
      <c r="F14" s="11"/>
      <c r="G14">
        <f t="shared" si="0"/>
        <v>0</v>
      </c>
    </row>
    <row r="15" spans="1:9" x14ac:dyDescent="0.25">
      <c r="B15" s="4">
        <v>46000</v>
      </c>
      <c r="C15" t="s">
        <v>10</v>
      </c>
      <c r="D15" s="5"/>
      <c r="E15" s="11"/>
      <c r="F15" s="11"/>
      <c r="G15">
        <f t="shared" si="0"/>
        <v>0</v>
      </c>
    </row>
    <row r="16" spans="1:9" x14ac:dyDescent="0.25">
      <c r="B16" s="4">
        <v>46001</v>
      </c>
      <c r="C16" t="s">
        <v>11</v>
      </c>
      <c r="D16" s="5"/>
      <c r="E16" s="11"/>
      <c r="F16" s="11"/>
      <c r="G16">
        <f t="shared" si="0"/>
        <v>0</v>
      </c>
    </row>
    <row r="17" spans="2:7" x14ac:dyDescent="0.25">
      <c r="B17" s="4">
        <v>46002</v>
      </c>
      <c r="C17" t="s">
        <v>12</v>
      </c>
      <c r="D17" s="5"/>
      <c r="E17" s="11"/>
      <c r="F17" s="11"/>
      <c r="G17">
        <f t="shared" si="0"/>
        <v>0</v>
      </c>
    </row>
    <row r="18" spans="2:7" x14ac:dyDescent="0.25">
      <c r="B18" s="4">
        <v>46003</v>
      </c>
      <c r="C18" t="s">
        <v>6</v>
      </c>
      <c r="D18" s="5"/>
      <c r="E18" s="11"/>
      <c r="F18" s="11"/>
      <c r="G18">
        <f t="shared" si="0"/>
        <v>0</v>
      </c>
    </row>
    <row r="19" spans="2:7" x14ac:dyDescent="0.25">
      <c r="B19" s="4">
        <v>46004</v>
      </c>
      <c r="C19" t="s">
        <v>7</v>
      </c>
      <c r="D19" s="5"/>
      <c r="E19" s="11"/>
      <c r="F19" s="11"/>
      <c r="G19">
        <f t="shared" si="0"/>
        <v>0</v>
      </c>
    </row>
    <row r="20" spans="2:7" x14ac:dyDescent="0.25">
      <c r="B20" s="4">
        <v>46005</v>
      </c>
      <c r="C20" t="s">
        <v>8</v>
      </c>
      <c r="D20" s="5"/>
      <c r="E20" s="11"/>
      <c r="F20" s="11"/>
      <c r="G20">
        <f t="shared" si="0"/>
        <v>0</v>
      </c>
    </row>
    <row r="21" spans="2:7" x14ac:dyDescent="0.25">
      <c r="B21" s="4">
        <v>46006</v>
      </c>
      <c r="C21" t="s">
        <v>9</v>
      </c>
      <c r="D21" s="5"/>
      <c r="E21" s="11"/>
      <c r="F21" s="11"/>
      <c r="G21">
        <f t="shared" si="0"/>
        <v>0</v>
      </c>
    </row>
    <row r="22" spans="2:7" x14ac:dyDescent="0.25">
      <c r="B22" s="4">
        <v>46007</v>
      </c>
      <c r="C22" t="s">
        <v>10</v>
      </c>
      <c r="D22" s="5"/>
      <c r="E22" s="11"/>
      <c r="F22" s="11"/>
      <c r="G22">
        <f t="shared" si="0"/>
        <v>0</v>
      </c>
    </row>
    <row r="23" spans="2:7" x14ac:dyDescent="0.25">
      <c r="B23" s="4">
        <v>46008</v>
      </c>
      <c r="C23" t="s">
        <v>11</v>
      </c>
      <c r="D23" s="5"/>
      <c r="E23" s="11"/>
      <c r="F23" s="11"/>
      <c r="G23">
        <f t="shared" si="0"/>
        <v>0</v>
      </c>
    </row>
    <row r="24" spans="2:7" x14ac:dyDescent="0.25">
      <c r="B24" s="4">
        <v>46009</v>
      </c>
      <c r="C24" t="s">
        <v>12</v>
      </c>
      <c r="D24" s="5"/>
      <c r="E24" s="11"/>
      <c r="F24" s="11"/>
      <c r="G24">
        <f t="shared" si="0"/>
        <v>0</v>
      </c>
    </row>
    <row r="25" spans="2:7" x14ac:dyDescent="0.25">
      <c r="B25" s="4">
        <v>46010</v>
      </c>
      <c r="C25" t="s">
        <v>6</v>
      </c>
      <c r="D25" s="5"/>
      <c r="E25" s="11"/>
      <c r="F25" s="11"/>
      <c r="G25">
        <f t="shared" si="0"/>
        <v>0</v>
      </c>
    </row>
    <row r="26" spans="2:7" x14ac:dyDescent="0.25">
      <c r="B26" s="4">
        <v>46011</v>
      </c>
      <c r="C26" t="s">
        <v>7</v>
      </c>
      <c r="D26" s="5"/>
      <c r="E26" s="11"/>
      <c r="F26" s="11"/>
      <c r="G26">
        <f t="shared" si="0"/>
        <v>0</v>
      </c>
    </row>
    <row r="27" spans="2:7" x14ac:dyDescent="0.25">
      <c r="B27" s="4">
        <v>46012</v>
      </c>
      <c r="C27" t="s">
        <v>8</v>
      </c>
      <c r="D27" s="5"/>
      <c r="E27" s="11"/>
      <c r="F27" s="11"/>
      <c r="G27">
        <f t="shared" si="0"/>
        <v>0</v>
      </c>
    </row>
    <row r="28" spans="2:7" x14ac:dyDescent="0.25">
      <c r="B28" s="4">
        <v>46013</v>
      </c>
      <c r="C28" t="s">
        <v>9</v>
      </c>
      <c r="D28" s="5"/>
      <c r="E28" s="11"/>
      <c r="F28" s="11"/>
      <c r="G28">
        <f t="shared" si="0"/>
        <v>0</v>
      </c>
    </row>
    <row r="29" spans="2:7" x14ac:dyDescent="0.25">
      <c r="B29" s="4">
        <v>46014</v>
      </c>
      <c r="C29" t="s">
        <v>10</v>
      </c>
      <c r="D29" s="5"/>
      <c r="E29" s="11"/>
      <c r="F29" s="11"/>
      <c r="G29">
        <f t="shared" si="0"/>
        <v>0</v>
      </c>
    </row>
    <row r="30" spans="2:7" x14ac:dyDescent="0.25">
      <c r="B30" s="4">
        <v>46015</v>
      </c>
      <c r="C30" t="s">
        <v>11</v>
      </c>
      <c r="D30" s="5"/>
      <c r="E30" s="11"/>
      <c r="F30" s="11"/>
      <c r="G30">
        <f t="shared" si="0"/>
        <v>0</v>
      </c>
    </row>
    <row r="31" spans="2:7" x14ac:dyDescent="0.25">
      <c r="B31" s="4">
        <v>46016</v>
      </c>
      <c r="C31" t="s">
        <v>12</v>
      </c>
      <c r="D31" s="5"/>
      <c r="E31" s="11"/>
      <c r="F31" s="11"/>
      <c r="G31">
        <f t="shared" si="0"/>
        <v>0</v>
      </c>
    </row>
    <row r="32" spans="2:7" x14ac:dyDescent="0.25">
      <c r="B32" s="4">
        <v>46017</v>
      </c>
      <c r="C32" t="s">
        <v>6</v>
      </c>
      <c r="D32" s="5"/>
      <c r="E32" s="11"/>
      <c r="F32" s="11"/>
      <c r="G32">
        <f t="shared" si="0"/>
        <v>0</v>
      </c>
    </row>
    <row r="33" spans="2:7" x14ac:dyDescent="0.25">
      <c r="B33" s="4">
        <v>46018</v>
      </c>
      <c r="C33" t="s">
        <v>7</v>
      </c>
      <c r="D33" s="5"/>
      <c r="E33" s="11"/>
      <c r="F33" s="11"/>
      <c r="G33">
        <f t="shared" si="0"/>
        <v>0</v>
      </c>
    </row>
    <row r="34" spans="2:7" x14ac:dyDescent="0.25">
      <c r="B34" s="4">
        <v>46019</v>
      </c>
      <c r="C34" t="s">
        <v>8</v>
      </c>
      <c r="D34" s="5"/>
      <c r="E34" s="11"/>
      <c r="F34" s="11"/>
      <c r="G34">
        <f t="shared" si="0"/>
        <v>0</v>
      </c>
    </row>
    <row r="35" spans="2:7" x14ac:dyDescent="0.25">
      <c r="B35" s="4">
        <v>46020</v>
      </c>
      <c r="C35" t="s">
        <v>9</v>
      </c>
      <c r="D35" s="5"/>
      <c r="E35" s="11"/>
      <c r="F35" s="11"/>
      <c r="G35">
        <f t="shared" si="0"/>
        <v>0</v>
      </c>
    </row>
    <row r="36" spans="2:7" x14ac:dyDescent="0.25">
      <c r="B36" s="4">
        <v>46021</v>
      </c>
      <c r="C36" t="s">
        <v>10</v>
      </c>
      <c r="D36" s="5"/>
      <c r="E36" s="11"/>
      <c r="F36" s="11"/>
      <c r="G36">
        <f t="shared" si="0"/>
        <v>0</v>
      </c>
    </row>
    <row r="37" spans="2:7" x14ac:dyDescent="0.25">
      <c r="B37" s="4">
        <v>46022</v>
      </c>
      <c r="C37" t="s">
        <v>11</v>
      </c>
      <c r="D37" s="5"/>
      <c r="E37" s="13"/>
      <c r="F37" s="13"/>
      <c r="G37">
        <f t="shared" si="0"/>
        <v>0</v>
      </c>
    </row>
    <row r="38" spans="2:7" x14ac:dyDescent="0.25">
      <c r="B38" s="1"/>
      <c r="D38" s="5">
        <f>SUM(D7:D37)</f>
        <v>0</v>
      </c>
      <c r="E38" s="11">
        <f>SUM(E7:E37)</f>
        <v>0</v>
      </c>
      <c r="F38" s="11">
        <f>SUM(F7:F37)</f>
        <v>0</v>
      </c>
      <c r="G38">
        <f>SUM(G7:G36)</f>
        <v>0</v>
      </c>
    </row>
    <row r="39" spans="2:7" x14ac:dyDescent="0.25">
      <c r="B39" s="1"/>
      <c r="D39" s="5"/>
      <c r="E39" s="11"/>
      <c r="F39" s="11"/>
      <c r="G39">
        <f>G38-F38</f>
        <v>0</v>
      </c>
    </row>
  </sheetData>
  <mergeCells count="2">
    <mergeCell ref="A2:F2"/>
    <mergeCell ref="A4:F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D43B-8ACC-47D3-A277-BE278B9FEC6B}">
  <dimension ref="A1"/>
  <sheetViews>
    <sheetView workbookViewId="0">
      <selection activeCell="J36" sqref="J36"/>
    </sheetView>
  </sheetViews>
  <sheetFormatPr defaultRowHeight="15" x14ac:dyDescent="0.25"/>
  <sheetData>
    <row r="1" spans="1:1" x14ac:dyDescent="0.25">
      <c r="A1">
        <f>SUM(DEEPAK!G39+SHIVANAND!G39+PAVAN!G39+RAJU!G39+RAHUL!G39+MAMA!G39+AJAY!G39)</f>
        <v>-5468.75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4F13-2B20-4F03-A6BC-1FFDEA2CD036}">
  <dimension ref="A1:I39"/>
  <sheetViews>
    <sheetView workbookViewId="0">
      <selection activeCell="A2" sqref="A2:F2"/>
    </sheetView>
  </sheetViews>
  <sheetFormatPr defaultRowHeight="15" x14ac:dyDescent="0.25"/>
  <cols>
    <col min="2" max="2" width="10.42578125" bestFit="1" customWidth="1"/>
    <col min="3" max="3" width="12" customWidth="1"/>
    <col min="4" max="4" width="13.7109375" customWidth="1"/>
    <col min="5" max="5" width="13.140625" customWidth="1"/>
    <col min="6" max="6" width="12.85546875" customWidth="1"/>
    <col min="7" max="7" width="11.42578125" customWidth="1"/>
  </cols>
  <sheetData>
    <row r="1" spans="1:9" x14ac:dyDescent="0.25">
      <c r="D1" s="5"/>
      <c r="E1" s="16"/>
      <c r="F1" s="16"/>
    </row>
    <row r="2" spans="1:9" x14ac:dyDescent="0.25">
      <c r="A2" s="22" t="s">
        <v>27</v>
      </c>
      <c r="B2" s="22"/>
      <c r="C2" s="22"/>
      <c r="D2" s="22"/>
      <c r="E2" s="22"/>
      <c r="F2" s="22"/>
    </row>
    <row r="3" spans="1:9" x14ac:dyDescent="0.25">
      <c r="D3" s="5"/>
      <c r="E3" s="16"/>
      <c r="F3" s="16"/>
    </row>
    <row r="4" spans="1:9" x14ac:dyDescent="0.25">
      <c r="A4" s="21" t="s">
        <v>16</v>
      </c>
      <c r="B4" s="21"/>
      <c r="C4" s="21"/>
      <c r="D4" s="21"/>
      <c r="E4" s="21"/>
      <c r="F4" s="21"/>
    </row>
    <row r="5" spans="1:9" x14ac:dyDescent="0.25">
      <c r="D5" s="5"/>
      <c r="E5" s="16"/>
      <c r="F5" s="16"/>
    </row>
    <row r="6" spans="1:9" x14ac:dyDescent="0.25">
      <c r="B6" t="s">
        <v>0</v>
      </c>
      <c r="C6" t="s">
        <v>1</v>
      </c>
      <c r="D6" s="5" t="s">
        <v>2</v>
      </c>
      <c r="E6" s="16" t="s">
        <v>3</v>
      </c>
      <c r="F6" s="16" t="s">
        <v>4</v>
      </c>
      <c r="G6" t="s">
        <v>14</v>
      </c>
      <c r="I6" t="s">
        <v>19</v>
      </c>
    </row>
    <row r="7" spans="1:9" x14ac:dyDescent="0.25">
      <c r="B7" s="4">
        <v>45992</v>
      </c>
      <c r="C7" t="s">
        <v>9</v>
      </c>
      <c r="D7" s="5">
        <v>1</v>
      </c>
      <c r="E7" s="16">
        <v>4</v>
      </c>
      <c r="F7" s="16"/>
      <c r="G7">
        <f>(D7*8+E7)*75</f>
        <v>900</v>
      </c>
    </row>
    <row r="8" spans="1:9" x14ac:dyDescent="0.25">
      <c r="B8" s="4">
        <v>45993</v>
      </c>
      <c r="C8" t="s">
        <v>10</v>
      </c>
      <c r="D8" s="5">
        <v>1</v>
      </c>
      <c r="E8" s="16">
        <v>3</v>
      </c>
      <c r="F8" s="16"/>
      <c r="G8">
        <f t="shared" ref="G8:G37" si="0">(D8*8+E8)*81.25</f>
        <v>893.75</v>
      </c>
    </row>
    <row r="9" spans="1:9" x14ac:dyDescent="0.25">
      <c r="B9" s="4">
        <v>45994</v>
      </c>
      <c r="C9" t="s">
        <v>11</v>
      </c>
      <c r="D9" s="5">
        <v>0</v>
      </c>
      <c r="E9" s="16"/>
      <c r="F9" s="16">
        <v>500</v>
      </c>
      <c r="G9">
        <f t="shared" si="0"/>
        <v>0</v>
      </c>
    </row>
    <row r="10" spans="1:9" x14ac:dyDescent="0.25">
      <c r="B10" s="4">
        <v>45995</v>
      </c>
      <c r="C10" t="s">
        <v>12</v>
      </c>
      <c r="D10" s="5">
        <v>1</v>
      </c>
      <c r="E10" s="16"/>
      <c r="F10" s="16">
        <v>100</v>
      </c>
      <c r="G10">
        <f t="shared" si="0"/>
        <v>650</v>
      </c>
    </row>
    <row r="11" spans="1:9" x14ac:dyDescent="0.25">
      <c r="B11" s="4">
        <v>45996</v>
      </c>
      <c r="C11" t="s">
        <v>6</v>
      </c>
      <c r="D11" s="5">
        <v>1</v>
      </c>
      <c r="E11" s="16"/>
      <c r="F11" s="16">
        <v>650</v>
      </c>
      <c r="G11">
        <f t="shared" si="0"/>
        <v>650</v>
      </c>
    </row>
    <row r="12" spans="1:9" x14ac:dyDescent="0.25">
      <c r="B12" s="4">
        <v>45997</v>
      </c>
      <c r="C12" t="s">
        <v>7</v>
      </c>
      <c r="D12" s="5">
        <v>1</v>
      </c>
      <c r="E12" s="16"/>
      <c r="F12" s="16">
        <v>200</v>
      </c>
      <c r="G12">
        <f t="shared" si="0"/>
        <v>650</v>
      </c>
    </row>
    <row r="13" spans="1:9" x14ac:dyDescent="0.25">
      <c r="B13" s="4">
        <v>45998</v>
      </c>
      <c r="C13" t="s">
        <v>8</v>
      </c>
      <c r="D13" s="5">
        <v>1</v>
      </c>
      <c r="E13" s="16"/>
      <c r="F13" s="16">
        <v>500</v>
      </c>
      <c r="G13">
        <f t="shared" si="0"/>
        <v>650</v>
      </c>
    </row>
    <row r="14" spans="1:9" x14ac:dyDescent="0.25">
      <c r="B14" s="4">
        <v>45999</v>
      </c>
      <c r="C14" t="s">
        <v>9</v>
      </c>
      <c r="D14" s="5">
        <v>1</v>
      </c>
      <c r="E14" s="16">
        <v>1</v>
      </c>
      <c r="F14" s="16">
        <v>1000</v>
      </c>
      <c r="G14">
        <f t="shared" si="0"/>
        <v>731.25</v>
      </c>
    </row>
    <row r="15" spans="1:9" x14ac:dyDescent="0.25">
      <c r="B15" s="4">
        <v>46000</v>
      </c>
      <c r="C15" t="s">
        <v>10</v>
      </c>
      <c r="D15" s="5">
        <v>1</v>
      </c>
      <c r="E15" s="16">
        <v>14</v>
      </c>
      <c r="F15" s="16">
        <v>100</v>
      </c>
      <c r="G15">
        <f t="shared" si="0"/>
        <v>1787.5</v>
      </c>
    </row>
    <row r="16" spans="1:9" x14ac:dyDescent="0.25">
      <c r="B16" s="4">
        <v>46001</v>
      </c>
      <c r="C16" t="s">
        <v>11</v>
      </c>
      <c r="D16" s="5">
        <v>0</v>
      </c>
      <c r="E16" s="16">
        <v>0</v>
      </c>
      <c r="F16" s="16">
        <v>200</v>
      </c>
      <c r="G16">
        <f t="shared" si="0"/>
        <v>0</v>
      </c>
    </row>
    <row r="17" spans="2:9" x14ac:dyDescent="0.25">
      <c r="B17" s="4">
        <v>46002</v>
      </c>
      <c r="C17" t="s">
        <v>12</v>
      </c>
      <c r="D17" s="5">
        <v>1</v>
      </c>
      <c r="E17" s="16">
        <v>1</v>
      </c>
      <c r="F17" s="16">
        <v>500</v>
      </c>
      <c r="G17">
        <f t="shared" si="0"/>
        <v>731.25</v>
      </c>
    </row>
    <row r="18" spans="2:9" x14ac:dyDescent="0.25">
      <c r="B18" s="4">
        <v>46003</v>
      </c>
      <c r="C18" t="s">
        <v>6</v>
      </c>
      <c r="D18" s="5">
        <v>1</v>
      </c>
      <c r="E18" s="16">
        <v>3</v>
      </c>
      <c r="F18" s="16">
        <v>200</v>
      </c>
      <c r="G18">
        <f t="shared" si="0"/>
        <v>893.75</v>
      </c>
    </row>
    <row r="19" spans="2:9" x14ac:dyDescent="0.25">
      <c r="B19" s="4">
        <v>46004</v>
      </c>
      <c r="C19" t="s">
        <v>7</v>
      </c>
      <c r="D19" s="5">
        <v>1</v>
      </c>
      <c r="E19" s="16">
        <v>3</v>
      </c>
      <c r="F19" s="16">
        <v>350</v>
      </c>
      <c r="G19">
        <f t="shared" si="0"/>
        <v>893.75</v>
      </c>
    </row>
    <row r="20" spans="2:9" x14ac:dyDescent="0.25">
      <c r="B20" s="4">
        <v>46005</v>
      </c>
      <c r="C20" t="s">
        <v>8</v>
      </c>
      <c r="D20" s="5">
        <v>1</v>
      </c>
      <c r="E20" s="16">
        <v>1</v>
      </c>
      <c r="F20" s="16">
        <v>1500</v>
      </c>
      <c r="G20">
        <f t="shared" si="0"/>
        <v>731.25</v>
      </c>
    </row>
    <row r="21" spans="2:9" x14ac:dyDescent="0.25">
      <c r="B21" s="4">
        <v>46006</v>
      </c>
      <c r="C21" t="s">
        <v>9</v>
      </c>
      <c r="D21" s="5">
        <v>1</v>
      </c>
      <c r="E21" s="16">
        <v>3</v>
      </c>
      <c r="F21" s="16">
        <v>3500</v>
      </c>
      <c r="G21">
        <f t="shared" si="0"/>
        <v>893.75</v>
      </c>
    </row>
    <row r="22" spans="2:9" x14ac:dyDescent="0.25">
      <c r="B22" s="4">
        <v>46007</v>
      </c>
      <c r="C22" t="s">
        <v>10</v>
      </c>
      <c r="D22" s="5">
        <v>1</v>
      </c>
      <c r="E22" s="16">
        <v>7</v>
      </c>
      <c r="F22" s="16">
        <v>620</v>
      </c>
      <c r="G22">
        <f t="shared" si="0"/>
        <v>1218.75</v>
      </c>
    </row>
    <row r="23" spans="2:9" x14ac:dyDescent="0.25">
      <c r="B23" s="4">
        <v>46008</v>
      </c>
      <c r="C23" t="s">
        <v>11</v>
      </c>
      <c r="D23" s="5">
        <v>0</v>
      </c>
      <c r="E23" s="16"/>
      <c r="F23" s="16">
        <v>100</v>
      </c>
      <c r="G23">
        <f t="shared" si="0"/>
        <v>0</v>
      </c>
    </row>
    <row r="24" spans="2:9" x14ac:dyDescent="0.25">
      <c r="B24" s="4">
        <v>46009</v>
      </c>
      <c r="C24" t="s">
        <v>12</v>
      </c>
      <c r="D24" s="5">
        <v>1</v>
      </c>
      <c r="E24" s="16">
        <v>3</v>
      </c>
      <c r="F24" s="16">
        <v>200</v>
      </c>
      <c r="G24">
        <f t="shared" si="0"/>
        <v>893.75</v>
      </c>
    </row>
    <row r="25" spans="2:9" x14ac:dyDescent="0.25">
      <c r="B25" s="4">
        <v>46010</v>
      </c>
      <c r="C25" t="s">
        <v>6</v>
      </c>
      <c r="D25" s="5">
        <v>1</v>
      </c>
      <c r="E25" s="16">
        <v>2</v>
      </c>
      <c r="F25" s="16">
        <v>1500</v>
      </c>
      <c r="G25">
        <f t="shared" si="0"/>
        <v>812.5</v>
      </c>
    </row>
    <row r="26" spans="2:9" x14ac:dyDescent="0.25">
      <c r="B26" s="4">
        <v>46011</v>
      </c>
      <c r="C26" t="s">
        <v>7</v>
      </c>
      <c r="D26" s="5">
        <v>1</v>
      </c>
      <c r="E26" s="16">
        <v>7</v>
      </c>
      <c r="F26" s="16">
        <v>300</v>
      </c>
      <c r="G26">
        <f t="shared" si="0"/>
        <v>1218.75</v>
      </c>
    </row>
    <row r="27" spans="2:9" x14ac:dyDescent="0.25">
      <c r="B27" s="4">
        <v>46012</v>
      </c>
      <c r="C27" t="s">
        <v>8</v>
      </c>
      <c r="D27" s="5">
        <v>1</v>
      </c>
      <c r="E27" s="16">
        <v>3</v>
      </c>
      <c r="F27" s="16">
        <v>500</v>
      </c>
      <c r="G27">
        <f t="shared" si="0"/>
        <v>893.75</v>
      </c>
    </row>
    <row r="28" spans="2:9" x14ac:dyDescent="0.25">
      <c r="B28" s="4">
        <v>46013</v>
      </c>
      <c r="C28" t="s">
        <v>9</v>
      </c>
      <c r="D28" s="5">
        <v>1</v>
      </c>
      <c r="E28" s="16">
        <v>4</v>
      </c>
      <c r="F28" s="16">
        <v>1000</v>
      </c>
      <c r="G28">
        <f t="shared" si="0"/>
        <v>975</v>
      </c>
    </row>
    <row r="29" spans="2:9" x14ac:dyDescent="0.25">
      <c r="B29" s="4">
        <v>46014</v>
      </c>
      <c r="C29" t="s">
        <v>10</v>
      </c>
      <c r="D29" s="5">
        <v>1</v>
      </c>
      <c r="E29" s="16">
        <v>9</v>
      </c>
      <c r="F29" s="16">
        <v>3456</v>
      </c>
      <c r="G29">
        <f t="shared" si="0"/>
        <v>1381.25</v>
      </c>
      <c r="I29" t="s">
        <v>29</v>
      </c>
    </row>
    <row r="30" spans="2:9" x14ac:dyDescent="0.25">
      <c r="B30" s="4">
        <v>46015</v>
      </c>
      <c r="C30" t="s">
        <v>11</v>
      </c>
      <c r="D30" s="5">
        <v>0</v>
      </c>
      <c r="E30" s="16"/>
      <c r="F30" s="16"/>
      <c r="G30">
        <f t="shared" si="0"/>
        <v>0</v>
      </c>
    </row>
    <row r="31" spans="2:9" x14ac:dyDescent="0.25">
      <c r="B31" s="4">
        <v>46016</v>
      </c>
      <c r="C31" t="s">
        <v>12</v>
      </c>
      <c r="D31" s="5">
        <v>1</v>
      </c>
      <c r="E31" s="16">
        <v>7</v>
      </c>
      <c r="F31" s="16">
        <v>12000</v>
      </c>
      <c r="G31">
        <f t="shared" si="0"/>
        <v>1218.75</v>
      </c>
      <c r="I31" t="s">
        <v>41</v>
      </c>
    </row>
    <row r="32" spans="2:9" x14ac:dyDescent="0.25">
      <c r="B32" s="4">
        <v>46017</v>
      </c>
      <c r="C32" t="s">
        <v>6</v>
      </c>
      <c r="D32" s="5">
        <v>1</v>
      </c>
      <c r="E32" s="16"/>
      <c r="F32" s="16"/>
      <c r="G32">
        <f t="shared" si="0"/>
        <v>650</v>
      </c>
    </row>
    <row r="33" spans="2:7" x14ac:dyDescent="0.25">
      <c r="B33" s="4">
        <v>46018</v>
      </c>
      <c r="C33" t="s">
        <v>7</v>
      </c>
      <c r="D33" s="5">
        <v>1</v>
      </c>
      <c r="E33" s="16">
        <v>1</v>
      </c>
      <c r="F33" s="16"/>
      <c r="G33">
        <f t="shared" si="0"/>
        <v>731.25</v>
      </c>
    </row>
    <row r="34" spans="2:7" x14ac:dyDescent="0.25">
      <c r="B34" s="4">
        <v>46019</v>
      </c>
      <c r="C34" t="s">
        <v>8</v>
      </c>
      <c r="D34" s="5">
        <v>1</v>
      </c>
      <c r="E34" s="16">
        <v>2</v>
      </c>
      <c r="F34" s="16"/>
      <c r="G34">
        <f t="shared" si="0"/>
        <v>812.5</v>
      </c>
    </row>
    <row r="35" spans="2:7" x14ac:dyDescent="0.25">
      <c r="B35" s="4">
        <v>46020</v>
      </c>
      <c r="C35" t="s">
        <v>9</v>
      </c>
      <c r="D35" s="5">
        <v>1</v>
      </c>
      <c r="E35" s="16">
        <v>7</v>
      </c>
      <c r="F35" s="16"/>
      <c r="G35">
        <f t="shared" si="0"/>
        <v>1218.75</v>
      </c>
    </row>
    <row r="36" spans="2:7" x14ac:dyDescent="0.25">
      <c r="B36" s="4">
        <v>46021</v>
      </c>
      <c r="C36" t="s">
        <v>10</v>
      </c>
      <c r="D36" s="5">
        <v>1</v>
      </c>
      <c r="E36" s="16">
        <v>6</v>
      </c>
      <c r="F36" s="16"/>
      <c r="G36">
        <f t="shared" si="0"/>
        <v>1137.5</v>
      </c>
    </row>
    <row r="37" spans="2:7" x14ac:dyDescent="0.25">
      <c r="B37" s="4">
        <v>46022</v>
      </c>
      <c r="C37" t="s">
        <v>11</v>
      </c>
      <c r="D37" s="5">
        <v>0</v>
      </c>
      <c r="E37" s="16"/>
      <c r="F37" s="16"/>
      <c r="G37">
        <f t="shared" si="0"/>
        <v>0</v>
      </c>
    </row>
    <row r="38" spans="2:7" x14ac:dyDescent="0.25">
      <c r="B38" s="1"/>
      <c r="D38" s="5">
        <f>SUM(D7:D37)</f>
        <v>26</v>
      </c>
      <c r="E38" s="16">
        <f>SUM(E7:E37)</f>
        <v>91</v>
      </c>
      <c r="F38" s="16">
        <f>SUM(F7:F37)</f>
        <v>28976</v>
      </c>
      <c r="G38">
        <f>SUM(G7:G37)</f>
        <v>24218.75</v>
      </c>
    </row>
    <row r="39" spans="2:7" x14ac:dyDescent="0.25">
      <c r="B39" s="1"/>
      <c r="D39" s="5"/>
      <c r="E39" s="16"/>
      <c r="F39" s="16"/>
      <c r="G39">
        <f>G38-F38</f>
        <v>-4757.25</v>
      </c>
    </row>
  </sheetData>
  <mergeCells count="2">
    <mergeCell ref="A2:F2"/>
    <mergeCell ref="A4:F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872F-94A0-429A-9C0A-28FF46C7FF5F}">
  <dimension ref="A1:I39"/>
  <sheetViews>
    <sheetView topLeftCell="A4" workbookViewId="0">
      <selection activeCell="F41" sqref="F41"/>
    </sheetView>
  </sheetViews>
  <sheetFormatPr defaultRowHeight="15" x14ac:dyDescent="0.25"/>
  <cols>
    <col min="2" max="2" width="14.140625" customWidth="1"/>
    <col min="3" max="3" width="17.42578125" customWidth="1"/>
    <col min="4" max="4" width="11.85546875" customWidth="1"/>
    <col min="5" max="5" width="11.5703125" customWidth="1"/>
    <col min="6" max="6" width="11.140625" customWidth="1"/>
    <col min="9" max="9" width="22.140625" customWidth="1"/>
  </cols>
  <sheetData>
    <row r="1" spans="1:9" x14ac:dyDescent="0.25">
      <c r="D1" s="5"/>
      <c r="E1" s="19"/>
      <c r="F1" s="19"/>
    </row>
    <row r="2" spans="1:9" x14ac:dyDescent="0.25">
      <c r="A2" s="22" t="s">
        <v>37</v>
      </c>
      <c r="B2" s="22"/>
      <c r="C2" s="22"/>
      <c r="D2" s="22"/>
      <c r="E2" s="22"/>
      <c r="F2" s="22"/>
    </row>
    <row r="3" spans="1:9" x14ac:dyDescent="0.25">
      <c r="D3" s="5"/>
      <c r="E3" s="19"/>
      <c r="F3" s="19"/>
    </row>
    <row r="4" spans="1:9" x14ac:dyDescent="0.25">
      <c r="A4" s="21" t="s">
        <v>16</v>
      </c>
      <c r="B4" s="21"/>
      <c r="C4" s="21"/>
      <c r="D4" s="21"/>
      <c r="E4" s="21"/>
      <c r="F4" s="21"/>
    </row>
    <row r="5" spans="1:9" x14ac:dyDescent="0.25">
      <c r="D5" s="5"/>
      <c r="E5" s="19"/>
      <c r="F5" s="19"/>
    </row>
    <row r="6" spans="1:9" x14ac:dyDescent="0.25">
      <c r="B6" t="s">
        <v>0</v>
      </c>
      <c r="C6" t="s">
        <v>1</v>
      </c>
      <c r="D6" s="5" t="s">
        <v>2</v>
      </c>
      <c r="E6" s="19" t="s">
        <v>3</v>
      </c>
      <c r="F6" s="19" t="s">
        <v>4</v>
      </c>
      <c r="G6" t="s">
        <v>14</v>
      </c>
      <c r="I6" t="s">
        <v>19</v>
      </c>
    </row>
    <row r="7" spans="1:9" x14ac:dyDescent="0.25">
      <c r="B7" s="4">
        <v>46054</v>
      </c>
      <c r="C7" t="s">
        <v>7</v>
      </c>
      <c r="D7" s="5">
        <v>1</v>
      </c>
      <c r="E7" s="19">
        <v>4</v>
      </c>
      <c r="F7" s="19">
        <v>500</v>
      </c>
      <c r="G7">
        <f>(D7*8+E7)*81.25</f>
        <v>975</v>
      </c>
    </row>
    <row r="8" spans="1:9" x14ac:dyDescent="0.25">
      <c r="B8" s="4">
        <v>46055</v>
      </c>
      <c r="C8" t="s">
        <v>8</v>
      </c>
      <c r="D8" s="5">
        <v>1</v>
      </c>
      <c r="E8" s="19">
        <v>4</v>
      </c>
      <c r="F8" s="19">
        <v>500</v>
      </c>
      <c r="G8">
        <f t="shared" ref="G8:G37" si="0">(D8*8+E8)*81.25</f>
        <v>975</v>
      </c>
    </row>
    <row r="9" spans="1:9" x14ac:dyDescent="0.25">
      <c r="B9" s="4">
        <v>46056</v>
      </c>
      <c r="C9" t="s">
        <v>9</v>
      </c>
      <c r="D9" s="5">
        <v>1</v>
      </c>
      <c r="E9" s="19">
        <v>4</v>
      </c>
      <c r="F9" s="19">
        <v>400</v>
      </c>
      <c r="G9">
        <f t="shared" si="0"/>
        <v>975</v>
      </c>
    </row>
    <row r="10" spans="1:9" x14ac:dyDescent="0.25">
      <c r="B10" s="4">
        <v>46057</v>
      </c>
      <c r="C10" t="s">
        <v>10</v>
      </c>
      <c r="D10" s="5">
        <v>0</v>
      </c>
      <c r="E10" s="19"/>
      <c r="F10" s="19">
        <v>300</v>
      </c>
      <c r="G10">
        <f t="shared" si="0"/>
        <v>0</v>
      </c>
    </row>
    <row r="11" spans="1:9" x14ac:dyDescent="0.25">
      <c r="B11" s="4">
        <v>46058</v>
      </c>
      <c r="C11" t="s">
        <v>11</v>
      </c>
      <c r="D11" s="5">
        <v>1</v>
      </c>
      <c r="E11" s="19">
        <v>7</v>
      </c>
      <c r="F11" s="19">
        <v>500</v>
      </c>
      <c r="G11">
        <f t="shared" si="0"/>
        <v>1218.75</v>
      </c>
    </row>
    <row r="12" spans="1:9" x14ac:dyDescent="0.25">
      <c r="B12" s="4">
        <v>46059</v>
      </c>
      <c r="C12" t="s">
        <v>12</v>
      </c>
      <c r="D12" s="5">
        <v>1</v>
      </c>
      <c r="E12" s="19">
        <v>8</v>
      </c>
      <c r="F12" s="19">
        <v>100</v>
      </c>
      <c r="G12">
        <f t="shared" si="0"/>
        <v>1300</v>
      </c>
    </row>
    <row r="13" spans="1:9" x14ac:dyDescent="0.25">
      <c r="B13" s="4">
        <v>46060</v>
      </c>
      <c r="C13" t="s">
        <v>6</v>
      </c>
      <c r="D13" s="5">
        <v>1</v>
      </c>
      <c r="E13" s="19">
        <v>6</v>
      </c>
      <c r="F13" s="19">
        <v>300</v>
      </c>
      <c r="G13">
        <f t="shared" si="0"/>
        <v>1137.5</v>
      </c>
    </row>
    <row r="14" spans="1:9" x14ac:dyDescent="0.25">
      <c r="B14" s="4">
        <v>46061</v>
      </c>
      <c r="C14" t="s">
        <v>7</v>
      </c>
      <c r="D14" s="5">
        <v>1</v>
      </c>
      <c r="E14" s="19">
        <v>1</v>
      </c>
      <c r="F14" s="19">
        <v>300</v>
      </c>
      <c r="G14">
        <f t="shared" si="0"/>
        <v>731.25</v>
      </c>
    </row>
    <row r="15" spans="1:9" x14ac:dyDescent="0.25">
      <c r="B15" s="4">
        <v>46062</v>
      </c>
      <c r="C15" t="s">
        <v>8</v>
      </c>
      <c r="D15" s="5">
        <v>1</v>
      </c>
      <c r="E15" s="19">
        <v>9</v>
      </c>
      <c r="F15" s="19">
        <v>300</v>
      </c>
      <c r="G15">
        <f t="shared" si="0"/>
        <v>1381.25</v>
      </c>
      <c r="I15" t="s">
        <v>38</v>
      </c>
    </row>
    <row r="16" spans="1:9" x14ac:dyDescent="0.25">
      <c r="B16" s="4">
        <v>46063</v>
      </c>
      <c r="C16" t="s">
        <v>9</v>
      </c>
      <c r="D16" s="5">
        <v>1</v>
      </c>
      <c r="E16" s="19">
        <v>10</v>
      </c>
      <c r="F16" s="19"/>
      <c r="G16">
        <f t="shared" si="0"/>
        <v>1462.5</v>
      </c>
    </row>
    <row r="17" spans="2:9" x14ac:dyDescent="0.25">
      <c r="B17" s="4">
        <v>46064</v>
      </c>
      <c r="C17" t="s">
        <v>10</v>
      </c>
      <c r="D17" s="5">
        <v>0</v>
      </c>
      <c r="E17" s="19"/>
      <c r="F17" s="19"/>
      <c r="G17">
        <f t="shared" si="0"/>
        <v>0</v>
      </c>
    </row>
    <row r="18" spans="2:9" x14ac:dyDescent="0.25">
      <c r="B18" s="4">
        <v>46065</v>
      </c>
      <c r="C18" t="s">
        <v>11</v>
      </c>
      <c r="D18" s="5">
        <v>0</v>
      </c>
      <c r="E18" s="19"/>
      <c r="F18" s="19"/>
      <c r="G18">
        <f t="shared" si="0"/>
        <v>0</v>
      </c>
    </row>
    <row r="19" spans="2:9" x14ac:dyDescent="0.25">
      <c r="B19" s="4">
        <v>46066</v>
      </c>
      <c r="C19" t="s">
        <v>12</v>
      </c>
      <c r="D19" s="5">
        <v>1</v>
      </c>
      <c r="E19" s="19"/>
      <c r="F19" s="19">
        <v>5000</v>
      </c>
      <c r="G19">
        <f t="shared" si="0"/>
        <v>650</v>
      </c>
      <c r="I19" t="s">
        <v>30</v>
      </c>
    </row>
    <row r="20" spans="2:9" x14ac:dyDescent="0.25">
      <c r="B20" s="4">
        <v>46067</v>
      </c>
      <c r="C20" t="s">
        <v>6</v>
      </c>
      <c r="D20" s="5">
        <v>1</v>
      </c>
      <c r="E20" s="19">
        <v>8</v>
      </c>
      <c r="F20" s="19">
        <v>5000</v>
      </c>
      <c r="G20">
        <f t="shared" si="0"/>
        <v>1300</v>
      </c>
    </row>
    <row r="21" spans="2:9" x14ac:dyDescent="0.25">
      <c r="B21" s="4">
        <v>46068</v>
      </c>
      <c r="C21" t="s">
        <v>7</v>
      </c>
      <c r="D21" s="5">
        <v>1</v>
      </c>
      <c r="E21" s="19">
        <v>9</v>
      </c>
      <c r="F21" s="19">
        <v>10000</v>
      </c>
      <c r="G21">
        <f t="shared" si="0"/>
        <v>1381.25</v>
      </c>
    </row>
    <row r="22" spans="2:9" x14ac:dyDescent="0.25">
      <c r="B22" s="4">
        <v>46069</v>
      </c>
      <c r="C22" t="s">
        <v>8</v>
      </c>
      <c r="D22" s="5">
        <v>1</v>
      </c>
      <c r="E22" s="19">
        <v>6</v>
      </c>
      <c r="F22" s="19"/>
      <c r="G22">
        <f t="shared" si="0"/>
        <v>1137.5</v>
      </c>
    </row>
    <row r="23" spans="2:9" x14ac:dyDescent="0.25">
      <c r="B23" s="4">
        <v>46070</v>
      </c>
      <c r="C23" t="s">
        <v>9</v>
      </c>
      <c r="D23" s="5">
        <v>1</v>
      </c>
      <c r="E23" s="19">
        <v>1</v>
      </c>
      <c r="F23" s="19"/>
      <c r="G23">
        <f t="shared" si="0"/>
        <v>731.25</v>
      </c>
    </row>
    <row r="24" spans="2:9" x14ac:dyDescent="0.25">
      <c r="B24" s="4">
        <v>46071</v>
      </c>
      <c r="C24" t="s">
        <v>10</v>
      </c>
      <c r="D24" s="5">
        <v>0</v>
      </c>
      <c r="E24" s="19"/>
      <c r="F24" s="19"/>
      <c r="G24">
        <f t="shared" si="0"/>
        <v>0</v>
      </c>
    </row>
    <row r="25" spans="2:9" x14ac:dyDescent="0.25">
      <c r="B25" s="4">
        <v>46072</v>
      </c>
      <c r="C25" t="s">
        <v>11</v>
      </c>
      <c r="D25" s="5">
        <v>1</v>
      </c>
      <c r="E25" s="19">
        <v>2</v>
      </c>
      <c r="F25" s="19"/>
      <c r="G25">
        <f t="shared" si="0"/>
        <v>812.5</v>
      </c>
    </row>
    <row r="26" spans="2:9" x14ac:dyDescent="0.25">
      <c r="B26" s="4">
        <v>46073</v>
      </c>
      <c r="C26" t="s">
        <v>12</v>
      </c>
      <c r="D26" s="5">
        <v>1</v>
      </c>
      <c r="E26" s="19">
        <v>3</v>
      </c>
      <c r="F26" s="19"/>
      <c r="G26">
        <f t="shared" si="0"/>
        <v>893.75</v>
      </c>
    </row>
    <row r="27" spans="2:9" x14ac:dyDescent="0.25">
      <c r="B27" s="4">
        <v>46074</v>
      </c>
      <c r="C27" t="s">
        <v>6</v>
      </c>
      <c r="D27" s="5">
        <v>1</v>
      </c>
      <c r="E27" s="19">
        <v>10</v>
      </c>
      <c r="F27" s="19"/>
      <c r="G27">
        <f t="shared" si="0"/>
        <v>1462.5</v>
      </c>
    </row>
    <row r="28" spans="2:9" x14ac:dyDescent="0.25">
      <c r="B28" s="4">
        <v>46075</v>
      </c>
      <c r="C28" t="s">
        <v>7</v>
      </c>
      <c r="D28" s="5">
        <v>1</v>
      </c>
      <c r="E28" s="19">
        <v>1</v>
      </c>
      <c r="F28" s="19"/>
      <c r="G28">
        <f t="shared" si="0"/>
        <v>731.25</v>
      </c>
    </row>
    <row r="29" spans="2:9" x14ac:dyDescent="0.25">
      <c r="B29" s="4">
        <v>46076</v>
      </c>
      <c r="C29" t="s">
        <v>8</v>
      </c>
      <c r="D29" s="5">
        <v>1</v>
      </c>
      <c r="E29" s="19">
        <v>10</v>
      </c>
      <c r="F29" s="19"/>
      <c r="G29">
        <f t="shared" si="0"/>
        <v>1462.5</v>
      </c>
    </row>
    <row r="30" spans="2:9" x14ac:dyDescent="0.25">
      <c r="B30" s="4">
        <v>46077</v>
      </c>
      <c r="C30" t="s">
        <v>9</v>
      </c>
      <c r="D30" s="5">
        <v>1</v>
      </c>
      <c r="E30" s="19">
        <v>10</v>
      </c>
      <c r="F30" s="19"/>
      <c r="G30">
        <f t="shared" si="0"/>
        <v>1462.5</v>
      </c>
    </row>
    <row r="31" spans="2:9" x14ac:dyDescent="0.25">
      <c r="B31" s="4">
        <v>46078</v>
      </c>
      <c r="C31" t="s">
        <v>10</v>
      </c>
      <c r="D31" s="5">
        <v>1</v>
      </c>
      <c r="E31" s="19">
        <v>7</v>
      </c>
      <c r="F31" s="19"/>
      <c r="G31">
        <f t="shared" si="0"/>
        <v>1218.75</v>
      </c>
    </row>
    <row r="32" spans="2:9" x14ac:dyDescent="0.25">
      <c r="B32" s="4">
        <v>46079</v>
      </c>
      <c r="C32" t="s">
        <v>11</v>
      </c>
      <c r="D32" s="5">
        <v>1</v>
      </c>
      <c r="E32" s="19">
        <v>5</v>
      </c>
      <c r="F32" s="19"/>
      <c r="G32">
        <f t="shared" si="0"/>
        <v>1056.25</v>
      </c>
    </row>
    <row r="33" spans="2:7" x14ac:dyDescent="0.25">
      <c r="B33" s="4">
        <v>46080</v>
      </c>
      <c r="C33" t="s">
        <v>12</v>
      </c>
      <c r="D33" s="5">
        <v>1</v>
      </c>
      <c r="E33" s="19">
        <v>6</v>
      </c>
      <c r="F33" s="19"/>
      <c r="G33">
        <f t="shared" si="0"/>
        <v>1137.5</v>
      </c>
    </row>
    <row r="34" spans="2:7" x14ac:dyDescent="0.25">
      <c r="B34" s="4">
        <v>46081</v>
      </c>
      <c r="C34" t="s">
        <v>6</v>
      </c>
      <c r="D34" s="5">
        <v>0</v>
      </c>
      <c r="E34" s="19"/>
      <c r="F34" s="19"/>
      <c r="G34">
        <f t="shared" si="0"/>
        <v>0</v>
      </c>
    </row>
    <row r="35" spans="2:7" x14ac:dyDescent="0.25">
      <c r="B35" s="4">
        <v>46082</v>
      </c>
      <c r="C35" t="s">
        <v>11</v>
      </c>
      <c r="D35" s="5"/>
      <c r="E35" s="19"/>
      <c r="F35" s="19"/>
      <c r="G35">
        <f t="shared" si="0"/>
        <v>0</v>
      </c>
    </row>
    <row r="36" spans="2:7" x14ac:dyDescent="0.25">
      <c r="B36" s="4">
        <v>46052</v>
      </c>
      <c r="C36" t="s">
        <v>12</v>
      </c>
      <c r="D36" s="5"/>
      <c r="E36" s="19"/>
      <c r="F36" s="19"/>
      <c r="G36">
        <f t="shared" si="0"/>
        <v>0</v>
      </c>
    </row>
    <row r="37" spans="2:7" x14ac:dyDescent="0.25">
      <c r="B37" s="4">
        <v>46053</v>
      </c>
      <c r="C37" t="s">
        <v>6</v>
      </c>
      <c r="D37" s="5"/>
      <c r="E37" s="19"/>
      <c r="F37" s="19"/>
      <c r="G37">
        <f t="shared" si="0"/>
        <v>0</v>
      </c>
    </row>
    <row r="38" spans="2:7" x14ac:dyDescent="0.25">
      <c r="B38" s="1"/>
      <c r="D38" s="5">
        <f>SUM(D7:D37)</f>
        <v>23</v>
      </c>
      <c r="E38" s="19">
        <f>SUM(E7:E37)</f>
        <v>131</v>
      </c>
      <c r="F38" s="19">
        <f>SUM(F7:F37)</f>
        <v>23200</v>
      </c>
      <c r="G38">
        <f>SUM(G7:G37)</f>
        <v>25593.75</v>
      </c>
    </row>
    <row r="39" spans="2:7" x14ac:dyDescent="0.25">
      <c r="B39" s="1"/>
      <c r="D39" s="5"/>
      <c r="E39" s="19"/>
      <c r="F39" s="19"/>
      <c r="G39">
        <f>G38-F38</f>
        <v>2393.75</v>
      </c>
    </row>
  </sheetData>
  <mergeCells count="2">
    <mergeCell ref="A2:F2"/>
    <mergeCell ref="A4:F4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F1C2-E0FD-4259-B0F3-0524C8CBF988}">
  <dimension ref="A1:P39"/>
  <sheetViews>
    <sheetView tabSelected="1" topLeftCell="A4" workbookViewId="0">
      <selection activeCell="K37" sqref="K37:K38"/>
    </sheetView>
  </sheetViews>
  <sheetFormatPr defaultRowHeight="15" x14ac:dyDescent="0.25"/>
  <cols>
    <col min="2" max="2" width="18.140625" customWidth="1"/>
    <col min="3" max="3" width="14.42578125" customWidth="1"/>
    <col min="4" max="4" width="14.7109375" customWidth="1"/>
    <col min="5" max="5" width="13" customWidth="1"/>
    <col min="6" max="6" width="13.28515625" customWidth="1"/>
    <col min="7" max="7" width="13.7109375" customWidth="1"/>
    <col min="15" max="15" width="14.28515625" customWidth="1"/>
    <col min="16" max="16" width="15.28515625" customWidth="1"/>
  </cols>
  <sheetData>
    <row r="1" spans="1:16" x14ac:dyDescent="0.25">
      <c r="D1" s="5"/>
      <c r="E1" s="20"/>
      <c r="F1" s="20"/>
    </row>
    <row r="2" spans="1:16" x14ac:dyDescent="0.25">
      <c r="A2" s="22" t="s">
        <v>39</v>
      </c>
      <c r="B2" s="22"/>
      <c r="C2" s="22"/>
      <c r="D2" s="22"/>
      <c r="E2" s="22"/>
      <c r="F2" s="22"/>
    </row>
    <row r="3" spans="1:16" x14ac:dyDescent="0.25">
      <c r="D3" s="5"/>
      <c r="E3" s="20"/>
      <c r="F3" s="20"/>
    </row>
    <row r="4" spans="1:16" x14ac:dyDescent="0.25">
      <c r="A4" s="21" t="s">
        <v>16</v>
      </c>
      <c r="B4" s="21"/>
      <c r="C4" s="21"/>
      <c r="D4" s="21"/>
      <c r="E4" s="21"/>
      <c r="F4" s="21"/>
    </row>
    <row r="5" spans="1:16" x14ac:dyDescent="0.25">
      <c r="D5" s="5"/>
      <c r="E5" s="20"/>
      <c r="F5" s="20"/>
    </row>
    <row r="6" spans="1:16" x14ac:dyDescent="0.25">
      <c r="B6" t="s">
        <v>0</v>
      </c>
      <c r="C6" t="s">
        <v>1</v>
      </c>
      <c r="D6" s="5" t="s">
        <v>2</v>
      </c>
      <c r="E6" s="20" t="s">
        <v>3</v>
      </c>
      <c r="F6" s="20" t="s">
        <v>4</v>
      </c>
      <c r="G6" t="s">
        <v>14</v>
      </c>
      <c r="I6" t="s">
        <v>19</v>
      </c>
    </row>
    <row r="7" spans="1:16" x14ac:dyDescent="0.25">
      <c r="B7" s="4">
        <v>46082</v>
      </c>
      <c r="C7" t="s">
        <v>8</v>
      </c>
      <c r="D7" s="5">
        <v>1</v>
      </c>
      <c r="E7" s="20">
        <v>3</v>
      </c>
      <c r="F7" s="20">
        <v>2500</v>
      </c>
      <c r="G7">
        <f>(D7*8+E7)*81.25</f>
        <v>893.75</v>
      </c>
    </row>
    <row r="8" spans="1:16" x14ac:dyDescent="0.25">
      <c r="B8" s="4">
        <v>46083</v>
      </c>
      <c r="C8" t="s">
        <v>9</v>
      </c>
      <c r="D8" s="5">
        <v>1</v>
      </c>
      <c r="E8" s="20">
        <v>3</v>
      </c>
      <c r="F8" s="20">
        <v>100</v>
      </c>
      <c r="G8">
        <f t="shared" ref="G8:G37" si="0">(D8*8+E8)*81.25</f>
        <v>893.75</v>
      </c>
    </row>
    <row r="9" spans="1:16" x14ac:dyDescent="0.25">
      <c r="B9" s="4">
        <v>46084</v>
      </c>
      <c r="C9" t="s">
        <v>10</v>
      </c>
      <c r="D9" s="5">
        <v>1</v>
      </c>
      <c r="E9" s="20">
        <v>3</v>
      </c>
      <c r="F9" s="20"/>
      <c r="G9">
        <f t="shared" si="0"/>
        <v>893.75</v>
      </c>
    </row>
    <row r="10" spans="1:16" x14ac:dyDescent="0.25">
      <c r="B10" s="4">
        <v>46085</v>
      </c>
      <c r="C10" t="s">
        <v>11</v>
      </c>
      <c r="D10" s="5">
        <v>0</v>
      </c>
      <c r="E10" s="20"/>
      <c r="F10" s="20"/>
      <c r="G10">
        <f t="shared" si="0"/>
        <v>0</v>
      </c>
    </row>
    <row r="11" spans="1:16" x14ac:dyDescent="0.25">
      <c r="B11" s="4">
        <v>46086</v>
      </c>
      <c r="C11" t="s">
        <v>12</v>
      </c>
      <c r="D11" s="5">
        <v>0</v>
      </c>
      <c r="E11" s="20"/>
      <c r="F11" s="20"/>
      <c r="G11">
        <f t="shared" si="0"/>
        <v>0</v>
      </c>
    </row>
    <row r="12" spans="1:16" x14ac:dyDescent="0.25">
      <c r="B12" s="4">
        <v>46087</v>
      </c>
      <c r="C12" t="s">
        <v>6</v>
      </c>
      <c r="D12" s="5">
        <v>0</v>
      </c>
      <c r="E12" s="20"/>
      <c r="F12" s="20"/>
      <c r="G12">
        <f t="shared" si="0"/>
        <v>0</v>
      </c>
    </row>
    <row r="13" spans="1:16" x14ac:dyDescent="0.25">
      <c r="B13" s="4">
        <v>46088</v>
      </c>
      <c r="C13" t="s">
        <v>7</v>
      </c>
      <c r="D13" s="5">
        <v>1</v>
      </c>
      <c r="E13" s="20">
        <v>5</v>
      </c>
      <c r="F13" s="20"/>
      <c r="G13">
        <f t="shared" si="0"/>
        <v>1056.25</v>
      </c>
    </row>
    <row r="14" spans="1:16" x14ac:dyDescent="0.25">
      <c r="B14" s="4">
        <v>46089</v>
      </c>
      <c r="C14" t="s">
        <v>8</v>
      </c>
      <c r="D14" s="5">
        <v>1</v>
      </c>
      <c r="E14" s="20">
        <v>3</v>
      </c>
      <c r="F14" s="20"/>
      <c r="G14">
        <f t="shared" si="0"/>
        <v>893.75</v>
      </c>
    </row>
    <row r="15" spans="1:16" x14ac:dyDescent="0.25">
      <c r="B15" s="4">
        <v>46090</v>
      </c>
      <c r="C15" t="s">
        <v>9</v>
      </c>
      <c r="D15" s="5">
        <v>1</v>
      </c>
      <c r="E15" s="20">
        <v>7</v>
      </c>
      <c r="F15" s="20"/>
      <c r="G15">
        <f t="shared" si="0"/>
        <v>1218.75</v>
      </c>
      <c r="O15" t="s">
        <v>27</v>
      </c>
      <c r="P15">
        <v>-4757</v>
      </c>
    </row>
    <row r="16" spans="1:16" x14ac:dyDescent="0.25">
      <c r="B16" s="4">
        <v>46091</v>
      </c>
      <c r="C16" t="s">
        <v>10</v>
      </c>
      <c r="D16" s="5">
        <v>1</v>
      </c>
      <c r="E16" s="20">
        <v>6</v>
      </c>
      <c r="F16" s="20"/>
      <c r="G16">
        <f t="shared" si="0"/>
        <v>1137.5</v>
      </c>
      <c r="O16" t="s">
        <v>40</v>
      </c>
      <c r="P16">
        <v>10262</v>
      </c>
    </row>
    <row r="17" spans="2:16" x14ac:dyDescent="0.25">
      <c r="B17" s="4">
        <v>46092</v>
      </c>
      <c r="C17" t="s">
        <v>11</v>
      </c>
      <c r="D17" s="5">
        <v>0</v>
      </c>
      <c r="E17" s="20"/>
      <c r="F17" s="20"/>
      <c r="G17">
        <f t="shared" si="0"/>
        <v>0</v>
      </c>
      <c r="O17" t="s">
        <v>37</v>
      </c>
      <c r="P17">
        <v>2393</v>
      </c>
    </row>
    <row r="18" spans="2:16" x14ac:dyDescent="0.25">
      <c r="B18" s="4">
        <v>46093</v>
      </c>
      <c r="C18" t="s">
        <v>12</v>
      </c>
      <c r="D18" s="5">
        <v>1</v>
      </c>
      <c r="E18" s="20">
        <v>7</v>
      </c>
      <c r="F18" s="20"/>
      <c r="G18">
        <f t="shared" si="0"/>
        <v>1218.75</v>
      </c>
      <c r="P18">
        <f>SUM(P15:P17)</f>
        <v>7898</v>
      </c>
    </row>
    <row r="19" spans="2:16" x14ac:dyDescent="0.25">
      <c r="B19" s="4">
        <v>46094</v>
      </c>
      <c r="C19" t="s">
        <v>6</v>
      </c>
      <c r="D19" s="5">
        <v>1</v>
      </c>
      <c r="E19" s="20">
        <v>8</v>
      </c>
      <c r="F19" s="20"/>
      <c r="G19">
        <f t="shared" si="0"/>
        <v>1300</v>
      </c>
    </row>
    <row r="20" spans="2:16" x14ac:dyDescent="0.25">
      <c r="B20" s="4">
        <v>46095</v>
      </c>
      <c r="C20" t="s">
        <v>7</v>
      </c>
      <c r="D20" s="5">
        <v>1</v>
      </c>
      <c r="E20" s="20">
        <v>2</v>
      </c>
      <c r="F20" s="20"/>
      <c r="G20">
        <f t="shared" si="0"/>
        <v>812.5</v>
      </c>
    </row>
    <row r="21" spans="2:16" x14ac:dyDescent="0.25">
      <c r="B21" s="4">
        <v>46096</v>
      </c>
      <c r="C21" t="s">
        <v>8</v>
      </c>
      <c r="D21" s="5">
        <v>1</v>
      </c>
      <c r="E21" s="20">
        <v>3</v>
      </c>
      <c r="F21" s="20"/>
      <c r="G21">
        <f t="shared" si="0"/>
        <v>893.75</v>
      </c>
    </row>
    <row r="22" spans="2:16" x14ac:dyDescent="0.25">
      <c r="B22" s="4">
        <v>46097</v>
      </c>
      <c r="C22" t="s">
        <v>9</v>
      </c>
      <c r="D22" s="5">
        <v>1</v>
      </c>
      <c r="E22" s="20">
        <v>6</v>
      </c>
      <c r="F22" s="20"/>
      <c r="G22">
        <f t="shared" si="0"/>
        <v>1137.5</v>
      </c>
    </row>
    <row r="23" spans="2:16" x14ac:dyDescent="0.25">
      <c r="B23" s="4">
        <v>46098</v>
      </c>
      <c r="C23" t="s">
        <v>10</v>
      </c>
      <c r="D23" s="5">
        <v>1</v>
      </c>
      <c r="E23" s="20">
        <v>2</v>
      </c>
      <c r="F23" s="20">
        <v>100</v>
      </c>
      <c r="G23">
        <f t="shared" si="0"/>
        <v>812.5</v>
      </c>
    </row>
    <row r="24" spans="2:16" x14ac:dyDescent="0.25">
      <c r="B24" s="4">
        <v>46099</v>
      </c>
      <c r="C24" t="s">
        <v>11</v>
      </c>
      <c r="D24" s="5">
        <v>0</v>
      </c>
      <c r="E24" s="20"/>
      <c r="F24" s="20"/>
      <c r="G24">
        <f t="shared" si="0"/>
        <v>0</v>
      </c>
    </row>
    <row r="25" spans="2:16" x14ac:dyDescent="0.25">
      <c r="B25" s="4">
        <v>46100</v>
      </c>
      <c r="C25" t="s">
        <v>12</v>
      </c>
      <c r="D25" s="5">
        <v>1</v>
      </c>
      <c r="E25" s="20"/>
      <c r="F25" s="20">
        <v>100</v>
      </c>
      <c r="G25">
        <f t="shared" si="0"/>
        <v>650</v>
      </c>
    </row>
    <row r="26" spans="2:16" x14ac:dyDescent="0.25">
      <c r="B26" s="4">
        <v>46101</v>
      </c>
      <c r="C26" t="s">
        <v>6</v>
      </c>
      <c r="D26" s="5">
        <v>1</v>
      </c>
      <c r="E26" s="20"/>
      <c r="F26" s="20">
        <v>1000</v>
      </c>
      <c r="G26">
        <f t="shared" si="0"/>
        <v>650</v>
      </c>
    </row>
    <row r="27" spans="2:16" x14ac:dyDescent="0.25">
      <c r="B27" s="4">
        <v>46102</v>
      </c>
      <c r="C27" t="s">
        <v>7</v>
      </c>
      <c r="D27" s="5">
        <v>1</v>
      </c>
      <c r="E27" s="20">
        <v>3</v>
      </c>
      <c r="F27" s="20">
        <v>400</v>
      </c>
      <c r="G27">
        <f t="shared" si="0"/>
        <v>893.75</v>
      </c>
    </row>
    <row r="28" spans="2:16" x14ac:dyDescent="0.25">
      <c r="B28" s="4">
        <v>46103</v>
      </c>
      <c r="C28" t="s">
        <v>8</v>
      </c>
      <c r="D28" s="5">
        <v>1</v>
      </c>
      <c r="E28" s="20">
        <v>3</v>
      </c>
      <c r="F28" s="20">
        <v>100</v>
      </c>
      <c r="G28">
        <f t="shared" si="0"/>
        <v>893.75</v>
      </c>
    </row>
    <row r="29" spans="2:16" x14ac:dyDescent="0.25">
      <c r="B29" s="4">
        <v>46104</v>
      </c>
      <c r="C29" t="s">
        <v>9</v>
      </c>
      <c r="D29" s="5">
        <v>1</v>
      </c>
      <c r="E29" s="20">
        <v>3</v>
      </c>
      <c r="F29" s="20">
        <v>200</v>
      </c>
      <c r="G29">
        <f t="shared" si="0"/>
        <v>893.75</v>
      </c>
    </row>
    <row r="30" spans="2:16" x14ac:dyDescent="0.25">
      <c r="B30" s="4">
        <v>46105</v>
      </c>
      <c r="C30" t="s">
        <v>10</v>
      </c>
      <c r="D30" s="5">
        <v>1</v>
      </c>
      <c r="E30" s="20">
        <v>2</v>
      </c>
      <c r="F30" s="20">
        <v>300</v>
      </c>
      <c r="G30">
        <f t="shared" si="0"/>
        <v>812.5</v>
      </c>
    </row>
    <row r="31" spans="2:16" x14ac:dyDescent="0.25">
      <c r="B31" s="4">
        <v>46106</v>
      </c>
      <c r="C31" t="s">
        <v>11</v>
      </c>
      <c r="D31" s="5">
        <v>0</v>
      </c>
      <c r="E31" s="20"/>
      <c r="F31" s="20">
        <v>1500</v>
      </c>
      <c r="G31">
        <f t="shared" si="0"/>
        <v>0</v>
      </c>
    </row>
    <row r="32" spans="2:16" x14ac:dyDescent="0.25">
      <c r="B32" s="4">
        <v>46107</v>
      </c>
      <c r="C32" t="s">
        <v>12</v>
      </c>
      <c r="D32" s="5">
        <v>1</v>
      </c>
      <c r="E32" s="20">
        <v>2</v>
      </c>
      <c r="F32" s="20">
        <v>1710</v>
      </c>
      <c r="G32">
        <f t="shared" si="0"/>
        <v>812.5</v>
      </c>
      <c r="I32" t="s">
        <v>29</v>
      </c>
    </row>
    <row r="33" spans="2:7" x14ac:dyDescent="0.25">
      <c r="B33" s="4">
        <v>46108</v>
      </c>
      <c r="C33" t="s">
        <v>6</v>
      </c>
      <c r="D33" s="5">
        <v>1</v>
      </c>
      <c r="E33" s="20"/>
      <c r="F33" s="20"/>
      <c r="G33">
        <f t="shared" si="0"/>
        <v>650</v>
      </c>
    </row>
    <row r="34" spans="2:7" x14ac:dyDescent="0.25">
      <c r="B34" s="4">
        <v>46109</v>
      </c>
      <c r="C34" t="s">
        <v>7</v>
      </c>
      <c r="D34" s="5">
        <v>1</v>
      </c>
      <c r="E34" s="20"/>
      <c r="F34" s="20"/>
      <c r="G34">
        <f t="shared" si="0"/>
        <v>650</v>
      </c>
    </row>
    <row r="35" spans="2:7" x14ac:dyDescent="0.25">
      <c r="B35" s="4">
        <v>46110</v>
      </c>
      <c r="C35" t="s">
        <v>8</v>
      </c>
      <c r="D35" s="5">
        <v>1</v>
      </c>
      <c r="E35" s="20"/>
      <c r="F35" s="20"/>
      <c r="G35">
        <f t="shared" si="0"/>
        <v>650</v>
      </c>
    </row>
    <row r="36" spans="2:7" x14ac:dyDescent="0.25">
      <c r="B36" s="4">
        <v>46111</v>
      </c>
      <c r="C36" t="s">
        <v>9</v>
      </c>
      <c r="D36" s="5">
        <v>1</v>
      </c>
      <c r="E36" s="20"/>
      <c r="F36" s="20"/>
      <c r="G36">
        <f t="shared" si="0"/>
        <v>650</v>
      </c>
    </row>
    <row r="37" spans="2:7" x14ac:dyDescent="0.25">
      <c r="B37" s="4">
        <v>46112</v>
      </c>
      <c r="C37" t="s">
        <v>10</v>
      </c>
      <c r="D37" s="5">
        <v>1</v>
      </c>
      <c r="E37" s="20"/>
      <c r="F37" s="20"/>
      <c r="G37">
        <f t="shared" si="0"/>
        <v>650</v>
      </c>
    </row>
    <row r="38" spans="2:7" x14ac:dyDescent="0.25">
      <c r="B38" s="1"/>
      <c r="D38" s="5">
        <f>SUM(D7:D37)</f>
        <v>25</v>
      </c>
      <c r="E38" s="20">
        <f>SUM(E7:E37)</f>
        <v>71</v>
      </c>
      <c r="F38" s="20">
        <f>SUM(F7:F37)</f>
        <v>8010</v>
      </c>
      <c r="G38">
        <f>SUM(G7:G37)</f>
        <v>22018.75</v>
      </c>
    </row>
    <row r="39" spans="2:7" x14ac:dyDescent="0.25">
      <c r="G39">
        <f>G38-F38</f>
        <v>14008.75</v>
      </c>
    </row>
  </sheetData>
  <mergeCells count="2">
    <mergeCell ref="A2:F2"/>
    <mergeCell ref="A4:F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DEEPAK</vt:lpstr>
      <vt:lpstr>SHIVANAND</vt:lpstr>
      <vt:lpstr>PAVAN</vt:lpstr>
      <vt:lpstr>RAJU</vt:lpstr>
      <vt:lpstr>RAHUL</vt:lpstr>
      <vt:lpstr>MAMA</vt:lpstr>
      <vt:lpstr>Sheet2</vt:lpstr>
      <vt:lpstr>AJAY</vt:lpstr>
      <vt:lpstr>Sheet3</vt:lpstr>
      <vt:lpstr>Sheet1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2025-09-02T20:19:09Z</cp:lastPrinted>
  <dcterms:created xsi:type="dcterms:W3CDTF">2025-08-21T10:45:45Z</dcterms:created>
  <dcterms:modified xsi:type="dcterms:W3CDTF">2026-04-11T15:13:52Z</dcterms:modified>
</cp:coreProperties>
</file>